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52abb2f22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5405fd34e9c426a"/>
    <x:sheet xmlns:r="http://schemas.openxmlformats.org/officeDocument/2006/relationships" name="Phase Register" sheetId="2" r:id="R8052b8ca785043b6"/>
    <x:sheet xmlns:r="http://schemas.openxmlformats.org/officeDocument/2006/relationships" name="Development Log" sheetId="3" r:id="R85bc16dc97d64635"/>
    <x:sheet xmlns:r="http://schemas.openxmlformats.org/officeDocument/2006/relationships" name="Test Cases" sheetId="4" r:id="Rdb2e81b7ee864faf"/>
    <x:sheet xmlns:r="http://schemas.openxmlformats.org/officeDocument/2006/relationships" name="Test Executions" sheetId="5" r:id="R392bb44962464c05"/>
    <x:sheet xmlns:r="http://schemas.openxmlformats.org/officeDocument/2006/relationships" name="Acceptance Matrix" sheetId="6" r:id="Rfb5bf3af51e64c4a"/>
    <x:sheet xmlns:r="http://schemas.openxmlformats.org/officeDocument/2006/relationships" name="Instructions" sheetId="7" r:id="Rd3efc6dc80d5402f"/>
  </x:sheets>
</x:workbook>
</file>

<file path=xl/comments1.xml><?xml version="1.0" encoding="utf-8"?>
<x:comments xmlns:x="http://schemas.openxmlformats.org/spreadsheetml/2006/main">
  <x:authors>
    <x:author>tc={19E62585-6E3B-5330-B942-2636E8090F48}</x:author>
  </x:authors>
  <x:commentList>
    <x:comment ref="B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Primary sources: PROJECT_MANIFEST.md and docs/phase-00-validation.md in codex/backend-integration commit 4ddd199.
Reply:
    GitHub CI evidence: https://github.com/paoloylag/payment-mod/actions/runs/32719293106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4"/>
      <x:color rgb="FF16324F"/>
      <x:name val="Carlito"/>
    </x:font>
    <x:font>
      <x:sz val="10"/>
      <x:color rgb="FF15803D"/>
      <x:name val="Carlito"/>
    </x:font>
    <x:font>
      <x:sz val="10"/>
      <x:color rgb="FFB91C1C"/>
      <x:name val="Carlito"/>
    </x:font>
    <x:font>
      <x:sz val="10"/>
      <x:color rgb="FF92400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E8F5EC"/>
      </x:patternFill>
    </x:fill>
    <x:fill>
      <x:patternFill patternType="solid">
        <x:fgColor rgb="FFE8F5EC"/>
      </x:patternFill>
    </x:fill>
    <x:fill>
      <x:patternFill patternType="solid">
        <x:fgColor rgb="FFFDECEC"/>
      </x:patternFill>
    </x:fill>
    <x:fill>
      <x:patternFill patternType="solid">
        <x:fgColor rgb="FFFFF4D6"/>
      </x:patternFill>
    </x:fill>
  </x:fills>
  <x:borders count="7">
    <x:border/>
    <x:border>
      <x:right style="thin">
        <x:color rgb="FFAFC4E8"/>
      </x:right>
    </x:border>
    <x:border>
      <x:left style="thin">
        <x:color rgb="FFAFC4E8"/>
      </x:left>
    </x:border>
    <x:border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left style="thin">
        <x:color rgb="FFAFC4E8"/>
      </x:left>
      <x:right style="thin">
        <x:color rgb="FFAFC4E8"/>
      </x:right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42"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15803D"/>
      </x:font>
      <x:fill>
        <x:patternFill>
          <x:bgColor rgb="FFEA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  <x:dxf>
      <x:font>
        <x:b/>
        <x:color rgb="FFB45309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54710631e464d" /><Relationship Type="http://schemas.openxmlformats.org/officeDocument/2006/relationships/theme" Target="/xl/theme/theme1.xml" Id="R90025a21925c44cc" /><Relationship Type="http://schemas.openxmlformats.org/officeDocument/2006/relationships/sharedStrings" Target="/xl/sharedStrings.xml" Id="R6de09847bbf24d1a" /><Relationship Type="http://schemas.openxmlformats.org/officeDocument/2006/relationships/worksheet" Target="/xl/worksheets/sheet1.xml" Id="R25405fd34e9c426a" /><Relationship Type="http://schemas.openxmlformats.org/officeDocument/2006/relationships/worksheet" Target="/xl/worksheets/sheet2.xml" Id="R8052b8ca785043b6" /><Relationship Type="http://schemas.openxmlformats.org/officeDocument/2006/relationships/worksheet" Target="/xl/worksheets/sheet3.xml" Id="R85bc16dc97d64635" /><Relationship Type="http://schemas.openxmlformats.org/officeDocument/2006/relationships/worksheet" Target="/xl/worksheets/sheet4.xml" Id="Rdb2e81b7ee864faf" /><Relationship Type="http://schemas.openxmlformats.org/officeDocument/2006/relationships/worksheet" Target="/xl/worksheets/sheet5.xml" Id="R392bb44962464c05" /><Relationship Type="http://schemas.openxmlformats.org/officeDocument/2006/relationships/worksheet" Target="/xl/worksheets/sheet6.xml" Id="Rfb5bf3af51e64c4a" /><Relationship Type="http://schemas.openxmlformats.org/officeDocument/2006/relationships/worksheet" Target="/xl/worksheets/sheet7.xml" Id="Rd3efc6dc80d5402f" /><Relationship Type="http://schemas.microsoft.com/office/2017/10/relationships/person" Target="/xl/persons/person.xml" Id="Rc1d5a8776e2744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68ca5f452149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Phase 00–01 test outcomes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'Dashboard'!$D$13:$D$15</c:f>
              <c:strCache>
                <c:ptCount val="0"/>
              </c:strCache>
            </c:strRef>
          </c:cat>
          <c:val>
            <c:numRef>
              <c:f>'Dashboard'!$E$13:$E$15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68ca5f452149d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Paolo Ylag" id="{3B7AB0CE-C57B-4ADE-B2A4-CCB63A2FB271}"/>
</xltc:personList>
</file>

<file path=xl/tables/table1.xml><?xml version="1.0" encoding="utf-8"?>
<x:table xmlns:x="http://schemas.openxmlformats.org/spreadsheetml/2006/main" id="1" name="PhaseRegisterTable" displayName="PhaseRegisterTable" ref="A3:I13" headerRowCount="1" totalsRowCount="0" totalsRowShown="0">
  <x:tableColumns count="9">
    <x:tableColumn id="1" name="Phase ID"/>
    <x:tableColumn id="2" name="Phase"/>
    <x:tableColumn id="3" name="Scope Summary"/>
    <x:tableColumn id="4" name="Status"/>
    <x:tableColumn id="5" name="Acceptance Gate"/>
    <x:tableColumn id="6" name="Validation Reference"/>
    <x:tableColumn id="7" name="Last Validated"/>
    <x:tableColumn id="8" name="Owner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elopmentLogTable" displayName="DevelopmentLogTable" ref="A3:L16" headerRowCount="1" totalsRowCount="0" totalsRowShown="0">
  <x:tableColumns count="12">
    <x:tableColumn id="1" name="Dev ID"/>
    <x:tableColumn id="2" name="Phase"/>
    <x:tableColumn id="3" name="Work Item"/>
    <x:tableColumn id="4" name="Area"/>
    <x:tableColumn id="5" name="Type"/>
    <x:tableColumn id="6" name="Status"/>
    <x:tableColumn id="7" name="Branch"/>
    <x:tableColumn id="8" name="Commit"/>
    <x:tableColumn id="9" name="Evidence"/>
    <x:tableColumn id="10" name="Owner"/>
    <x:tableColumn id="11" name="Updated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CaseTable" displayName="TestCaseTable" ref="A3:M23" headerRowCount="1" totalsRowCount="0" totalsRowShown="0">
  <x:tableColumns count="13">
    <x:tableColumn id="1" name="Test ID"/>
    <x:tableColumn id="2" name="Phase"/>
    <x:tableColumn id="3" name="Feature"/>
    <x:tableColumn id="4" name="Test Type"/>
    <x:tableColumn id="5" name="Preconditions"/>
    <x:tableColumn id="6" name="Steps"/>
    <x:tableColumn id="7" name="Expected Result"/>
    <x:tableColumn id="8" name="Automation"/>
    <x:tableColumn id="9" name="Command / URL"/>
    <x:tableColumn id="10" name="Priority"/>
    <x:tableColumn id="11" name="Current Result"/>
    <x:tableColumn id="12" name="Acceptance Required"/>
    <x:tableColumn id="13" name="Evidence /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ExecutionTable" displayName="TestExecutionTable" ref="A3:L23" headerRowCount="1" totalsRowCount="0" totalsRowShown="0">
  <x:tableColumns count="12">
    <x:tableColumn id="1" name="Run ID"/>
    <x:tableColumn id="2" name="Test ID"/>
    <x:tableColumn id="3" name="Run Date"/>
    <x:tableColumn id="4" name="Environment"/>
    <x:tableColumn id="5" name="Build / Commit"/>
    <x:tableColumn id="6" name="Execution Status"/>
    <x:tableColumn id="7" name="Result"/>
    <x:tableColumn id="8" name="Actual Result"/>
    <x:tableColumn id="9" name="Executed By"/>
    <x:tableColumn id="10" name="Defect ID"/>
    <x:tableColumn id="11" name="Retest"/>
    <x:tableColumn id="12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ptanceTable" displayName="AcceptanceTable" ref="A3:J9" headerRowCount="1" totalsRowCount="0" totalsRowShown="0">
  <x:tableColumns count="10">
    <x:tableColumn id="1" name="Gate ID"/>
    <x:tableColumn id="2" name="Phase"/>
    <x:tableColumn id="3" name="Gate"/>
    <x:tableColumn id="4" name="Acceptance Requirement"/>
    <x:tableColumn id="5" name="Linked Tests"/>
    <x:tableColumn id="6" name="Required"/>
    <x:tableColumn id="7" name="Result"/>
    <x:tableColumn id="8" name="Evidence / Limitation"/>
    <x:tableColumn id="9" name="Accepted Date"/>
    <x:tableColumn id="10" name="Accepted 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8" dT="2026-08-25T03:14:32.316" personId="{3B7AB0CE-C57B-4ADE-B2A4-CCB63A2FB271}" id="{19E62585-6E3B-5330-B942-2636E8090F48}">
    <xltc:text>Primary sources: PROJECT_MANIFEST.md and docs/phase-00-validation.md in codex/backend-integration commit 4ddd199.</xltc:text>
  </xltc:threadedComment>
  <xltc:threadedComment ref="B18" dT="2026-08-25T03:14:32.316" personId="{3B7AB0CE-C57B-4ADE-B2A4-CCB63A2FB271}" id="{1D9D9B96-07F1-4FA8-85D7-9617598F0567}" parentId="{19E62585-6E3B-5330-B942-2636E8090F48}">
    <xltc:text>GitHub CI evidence: https://github.com/paoloylag/payment-mod/actions/runs/32719293106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8c3f5630a94a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18844ae4a24b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96d21a830a42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9d9b89381a4f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eec06c02e749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7c30519f9943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1.xml" Id="Ra6bc9578075a46f9" /><Relationship Type="http://schemas.openxmlformats.org/officeDocument/2006/relationships/vmlDrawing" Target="/xl/drawings/vmldrawing.vml" Id="R32ac00333c3a4011" /><Relationship Type="http://schemas.microsoft.com/office/2017/10/relationships/threadedComment" Target="/xl/threadedcomments/threadedcomment.xml" Id="R2468e639bfc844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36" hidden="0" customWidth="1"/>
    <x:col min="8" max="8" width="18" hidden="0" customWidth="1"/>
  </x:cols>
  <x:sheetData>
    <x:row r="1" ht="21.600000381469727" hidden="0" customHeight="1">
      <x:c r="A1" s="3" t="str">
        <x:v>Automated Payment System — Development &amp; QA Dashboard</x:v>
      </x:c>
    </x:row>
    <x:row r="2" ht="26.399999618530273" hidden="0" customHeight="1">
      <x:c r="A2" s="6" t="str">
        <x:v>Live register for delivery phases, test execution, acceptance gates and evidence. Update source sheets; dashboard formulas recalculate.</x:v>
      </x:c>
    </x:row>
    <x:row r="3"/>
    <x:row r="4" ht="15" hidden="0" customHeight="1">
      <x:c r="A4" s="13" t="str">
        <x:v>Metric</x:v>
      </x:c>
      <x:c r="B4" s="14" t="str">
        <x:v>Current</x:v>
      </x:c>
      <x:c r="D4" s="13" t="str">
        <x:v>Phase 01 release-readiness snapshot</x:v>
      </x:c>
      <x:c r="E4" s="36"/>
      <x:c r="F4" s="36"/>
      <x:c r="G4" s="36"/>
      <x:c r="H4" s="14"/>
    </x:row>
    <x:row r="5" ht="36" hidden="0" customHeight="1">
      <x:c r="A5" s="22" t="str">
        <x:v>Validated phases</x:v>
      </x:c>
      <x:c r="B5" s="31" t="n">
        <x:f>COUNTIF('Phase Register'!$D$4:$D$13,"Validated")</x:f>
        <x:v>2</x:v>
      </x:c>
      <x:c r="D5" s="22" t="str">
        <x:v>Functional suite</x:v>
      </x:c>
      <x:c r="E5" s="46" t="str">
        <x:v>28 passed</x:v>
      </x:c>
      <x:c r="F5" s="51" t="str">
        <x:v>Passed</x:v>
      </x:c>
      <x:c r="G5" s="22" t="str">
        <x:v>90.59% coverage</x:v>
      </x:c>
      <x:c r="H5" s="37" t="n">
        <x:v>46262</x:v>
      </x:c>
    </x:row>
    <x:row r="6" ht="60" hidden="0" customHeight="1">
      <x:c r="A6" s="23" t="str">
        <x:v>Total phases</x:v>
      </x:c>
      <x:c r="B6" s="32" t="n">
        <x:f>COUNTA('Phase Register'!$A$4:$A$13)</x:f>
        <x:v>10</x:v>
      </x:c>
      <x:c r="D6" s="23" t="str">
        <x:v>Database recovery</x:v>
      </x:c>
      <x:c r="E6" s="47" t="str">
        <x:v>Backup/restore</x:v>
      </x:c>
      <x:c r="F6" s="52" t="str">
        <x:v>Passed</x:v>
      </x:c>
      <x:c r="G6" s="23" t="str">
        <x:v>Revision and sampled counts matched</x:v>
      </x:c>
      <x:c r="H6" s="38" t="n">
        <x:v>46262</x:v>
      </x:c>
    </x:row>
    <x:row r="7" ht="84" hidden="0" customHeight="1">
      <x:c r="A7" s="23" t="str">
        <x:v>Passed tests</x:v>
      </x:c>
      <x:c r="B7" s="32" t="n">
        <x:v>55</x:v>
      </x:c>
      <x:c r="D7" s="23" t="str">
        <x:v>Session resilience</x:v>
      </x:c>
      <x:c r="E7" s="47" t="str">
        <x:v>Concurrency/restart</x:v>
      </x:c>
      <x:c r="F7" s="52" t="str">
        <x:v>Passed</x:v>
      </x:c>
      <x:c r="G7" s="23" t="str">
        <x:v>Distinct sessions; restart continuity</x:v>
      </x:c>
      <x:c r="H7" s="38" t="n">
        <x:v>46262</x:v>
      </x:c>
    </x:row>
    <x:row r="8" ht="72" hidden="0" customHeight="1">
      <x:c r="A8" s="23" t="str">
        <x:v>Failed tests</x:v>
      </x:c>
      <x:c r="B8" s="32" t="n">
        <x:v>0</x:v>
      </x:c>
      <x:c r="D8" s="23" t="str">
        <x:v>Python dependencies</x:v>
      </x:c>
      <x:c r="E8" s="47" t="str">
        <x:v>pip-audit</x:v>
      </x:c>
      <x:c r="F8" s="54" t="str">
        <x:v>Passed</x:v>
      </x:c>
      <x:c r="G8" s="23" t="str">
        <x:v>No known vulnerabilities</x:v>
      </x:c>
      <x:c r="H8" s="38" t="n">
        <x:v>46262</x:v>
      </x:c>
    </x:row>
    <x:row r="9" ht="60" hidden="0" customHeight="1">
      <x:c r="A9" s="24" t="str">
        <x:v>Blocked tests</x:v>
      </x:c>
      <x:c r="B9" s="33" t="n">
        <x:v>1</x:v>
      </x:c>
      <x:c r="D9" s="23" t="str">
        <x:v>Frontend dependencies</x:v>
      </x:c>
      <x:c r="E9" s="47" t="str">
        <x:v>pnpm audit</x:v>
      </x:c>
      <x:c r="F9" s="54" t="str">
        <x:v>Passed</x:v>
      </x:c>
      <x:c r="G9" s="23" t="str">
        <x:v>No known vulnerabilities</x:v>
      </x:c>
      <x:c r="H9" s="38" t="n">
        <x:v>46262</x:v>
      </x:c>
    </x:row>
    <x:row r="10" ht="84" hidden="0" customHeight="1">
      <x:c r="A10"/>
      <x:c r="B10"/>
      <x:c r="D10" s="24" t="str">
        <x:v>Browser matrix</x:v>
      </x:c>
      <x:c r="E10" s="48" t="str">
        <x:v>Chrome + in-app</x:v>
      </x:c>
      <x:c r="F10" s="56" t="str">
        <x:v>Accepted limitation</x:v>
      </x:c>
      <x:c r="G10" s="24" t="str">
        <x:v>Firefox/Safari required before production promotion</x:v>
      </x:c>
      <x:c r="H10" s="39" t="n">
        <x:v>46262</x:v>
      </x:c>
    </x:row>
    <x:row r="11"/>
    <x:row r="12" ht="15" hidden="0" customHeight="1">
      <x:c r="D12" s="13" t="str">
        <x:v>Test result</x:v>
      </x:c>
      <x:c r="E12" s="14" t="str">
        <x:v>Count</x:v>
      </x:c>
    </x:row>
    <x:row r="13" ht="15" hidden="0" customHeight="1">
      <x:c r="D13" t="str">
        <x:v>Passed</x:v>
      </x:c>
      <x:c r="E13" t="n">
        <x:v>55</x:v>
      </x:c>
    </x:row>
    <x:row r="14" ht="15" hidden="0" customHeight="1">
      <x:c r="D14" t="str">
        <x:v>Failed</x:v>
      </x:c>
      <x:c r="E14" t="n">
        <x:v>0</x:v>
      </x:c>
    </x:row>
    <x:row r="15" ht="15" hidden="0" customHeight="1">
      <x:c r="D15" t="str">
        <x:v>Blocked</x:v>
      </x:c>
      <x:c r="E15" t="n">
        <x:v>1</x:v>
      </x:c>
    </x:row>
    <x:row r="16"/>
    <x:row r="17" ht="15" hidden="0" customHeight="1">
      <x:c r="D17" s="13" t="str">
        <x:v>Current environment</x:v>
      </x:c>
      <x:c r="E17" s="36"/>
      <x:c r="F17" s="36"/>
      <x:c r="G17" s="36"/>
      <x:c r="H17" s="14"/>
    </x:row>
    <x:row r="18" ht="36" hidden="0" customHeight="1">
      <x:c r="D18" s="22" t="str">
        <x:v>Branch</x:v>
      </x:c>
      <x:c r="E18" s="22" t="str">
        <x:v>codex/backend-integration</x:v>
      </x:c>
      <x:c r="F18" s="22" t="str">
        <x:v>Commit</x:v>
      </x:c>
      <x:c r="G18" s="22" t="str">
        <x:v>44e876e</x:v>
      </x:c>
      <x:c r="H18" s="22"/>
    </x:row>
    <x:row r="19" ht="48" hidden="0" customHeight="1">
      <x:c r="D19" s="23" t="str">
        <x:v>Frontend</x:v>
      </x:c>
      <x:c r="E19" s="23" t="str">
        <x:v>codex/frontend-only-prototype @ 7043f0f</x:v>
      </x:c>
      <x:c r="F19" s="23" t="str">
        <x:v>Status</x:v>
      </x:c>
      <x:c r="G19" s="23" t="str">
        <x:v>Standalone mock validated</x:v>
      </x:c>
      <x:c r="H19" s="23"/>
    </x:row>
    <x:row r="20" ht="24" hidden="0" customHeight="1">
      <x:c r="D20" s="23" t="str">
        <x:v>API</x:v>
      </x:c>
      <x:c r="E20" s="23" t="str">
        <x:v>http://127.0.0.1:8002</x:v>
      </x:c>
      <x:c r="F20" s="23" t="str">
        <x:v>Status</x:v>
      </x:c>
      <x:c r="G20" s="23" t="str">
        <x:v>Healthy</x:v>
      </x:c>
      <x:c r="H20" s="23"/>
    </x:row>
    <x:row r="21" ht="48" hidden="0" customHeight="1">
      <x:c r="D21" s="23" t="str">
        <x:v>Database</x:v>
      </x:c>
      <x:c r="E21" s="23" t="str">
        <x:v>PostgreSQL 16 on 127.0.0.1:5434</x:v>
      </x:c>
      <x:c r="F21" s="23" t="str">
        <x:v>Migration</x:v>
      </x:c>
      <x:c r="G21" s="23" t="str">
        <x:v>20260826_0004</x:v>
      </x:c>
      <x:c r="H21" s="23"/>
    </x:row>
    <x:row r="22" ht="36" hidden="0" customHeight="1">
      <x:c r="D22" s="24" t="str">
        <x:v>Evidence</x:v>
      </x:c>
      <x:c r="E22" s="24" t="str">
        <x:v>docs/phase-01-plan.md</x:v>
      </x:c>
      <x:c r="F22" s="24" t="str">
        <x:v>Updated</x:v>
      </x:c>
      <x:c r="G22" s="39" t="n">
        <x:v>46262</x:v>
      </x:c>
      <x:c r="H22" s="24"/>
    </x:row>
  </x:sheetData>
  <x:mergeCells>
    <x:mergeCell ref="A1:H1"/>
    <x:mergeCell ref="A2:H2"/>
    <x:mergeCell ref="D4:H4"/>
    <x:mergeCell ref="D17:H17"/>
  </x:mergeCells>
  <x:conditionalFormatting sqref="F5:F10">
    <x:cfRule type="containsText" dxfId="0" priority="1" operator="containsText" text="Passed"/>
    <x:cfRule type="containsText" dxfId="1" priority="2" operator="containsText" text="Validated"/>
    <x:cfRule type="containsText" dxfId="2" priority="3" operator="containsText" text="Accepted"/>
    <x:cfRule type="containsText" dxfId="3" priority="4" operator="containsText" text="Failed"/>
    <x:cfRule type="containsText" dxfId="4" priority="5" operator="containsText" text="Blocked"/>
    <x:cfRule type="containsText" dxfId="5" priority="6" operator="containsText" text="Not Run"/>
    <x:cfRule type="containsText" dxfId="6" priority="7" operator="containsText" text="Pending"/>
  </x:conditionalFormatting>
  <x:pageMargins left="0.7" right="0.7" top="0.75" bottom="0.75" header="0.3" footer="0.3"/>
  <x:drawing xmlns:r="http://schemas.openxmlformats.org/officeDocument/2006/relationships" r:id="R5f8c3f5630a94a5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20" hidden="0" customWidth="1"/>
    <x:col min="5" max="5" width="46" hidden="0" customWidth="1"/>
    <x:col min="6" max="6" width="28" hidden="0" customWidth="1"/>
    <x:col min="7" max="7" width="15" hidden="0" customWidth="1"/>
    <x:col min="8" max="8" width="18" hidden="0" customWidth="1"/>
    <x:col min="9" max="9" width="42" hidden="0" customWidth="1"/>
  </x:cols>
  <x:sheetData>
    <x:row r="1" ht="21.600000381469727" hidden="0" customHeight="1">
      <x:c r="A1" s="3" t="str">
        <x:v>Phase Register</x:v>
      </x:c>
    </x:row>
    <x:row r="2" ht="15" hidden="0" customHeight="1">
      <x:c r="A2" s="6" t="str">
        <x:v>Status and acceptance boundary for every planned implementation phase.</x:v>
      </x:c>
    </x:row>
    <x:row r="3" ht="26.399999618530273" hidden="0" customHeight="1">
      <x:c r="A3" s="13" t="str">
        <x:v>Phase ID</x:v>
      </x:c>
      <x:c r="B3" s="36" t="str">
        <x:v>Phase</x:v>
      </x:c>
      <x:c r="C3" s="36" t="str">
        <x:v>Scope Summary</x:v>
      </x:c>
      <x:c r="D3" s="36" t="str">
        <x:v>Status</x:v>
      </x:c>
      <x:c r="E3" s="36" t="str">
        <x:v>Acceptance Gate</x:v>
      </x:c>
      <x:c r="F3" s="36" t="str">
        <x:v>Validation Reference</x:v>
      </x:c>
      <x:c r="G3" s="36" t="str">
        <x:v>Last Validated</x:v>
      </x:c>
      <x:c r="H3" s="36" t="str">
        <x:v>Owner</x:v>
      </x:c>
      <x:c r="I3" s="14" t="str">
        <x:v>Notes</x:v>
      </x:c>
    </x:row>
    <x:row r="4" ht="132" hidden="0" customHeight="1">
      <x:c r="A4" s="22" t="str">
        <x:v>P00</x:v>
      </x:c>
      <x:c r="B4" s="22" t="str">
        <x:v>Foundation</x:v>
      </x:c>
      <x:c r="C4" s="22" t="str">
        <x:v>API foundation, PostgreSQL, migrations, seed, middleware, CI/CD and hybrid frontend status</x:v>
      </x:c>
      <x:c r="D4" s="22" t="str">
        <x:v>Validated</x:v>
      </x:c>
      <x:c r="E4" s="22" t="str">
        <x:v>All foundation gates pass locally and in CI</x:v>
      </x:c>
      <x:c r="F4" s="22" t="str">
        <x:v>docs/phase-00-validation.md</x:v>
      </x:c>
      <x:c r="G4" s="37" t="n">
        <x:v>46259</x:v>
      </x:c>
      <x:c r="H4" s="22" t="str">
        <x:v>Backend Team</x:v>
      </x:c>
      <x:c r="I4" s="22" t="str">
        <x:v>Commit 4ddd199; local Docker validation complete</x:v>
      </x:c>
    </x:row>
    <x:row r="5" ht="96" hidden="0" customHeight="1">
      <x:c r="A5" s="23" t="str">
        <x:v>P01</x:v>
      </x:c>
      <x:c r="B5" s="23" t="str">
        <x:v>Authentication and RBAC</x:v>
      </x:c>
      <x:c r="C5" s="23" t="str">
        <x:v>Local auth, sessions, users, roles, permissions and authorization</x:v>
      </x:c>
      <x:c r="D5" s="23" t="str">
        <x:v>Validated</x:v>
      </x:c>
      <x:c r="E5" s="23" t="str">
        <x:v>Protected endpoints enforce identity, role and department boundaries</x:v>
      </x:c>
      <x:c r="F5" s="23" t="str">
        <x:v>docs/phase-01-plan.md</x:v>
      </x:c>
      <x:c r="G5" s="38" t="n">
        <x:v>46262</x:v>
      </x:c>
      <x:c r="H5" s="23" t="str">
        <x:v>Backend Team</x:v>
      </x:c>
      <x:c r="I5" s="23" t="str">
        <x:v>28 tests passed; 90.59% coverage; clean Python/frontend audits; Chrome/in-app UI and XLSX integrity passed. Firefox, Safari, penetration, and production proxy/HTTPS checks are accepted production-promotion limitations.</x:v>
      </x:c>
    </x:row>
    <x:row r="6" ht="120" hidden="0" customHeight="1">
      <x:c r="A6" s="23" t="str">
        <x:v>P02</x:v>
      </x:c>
      <x:c r="B6" s="23" t="str">
        <x:v>Master Data</x:v>
      </x:c>
      <x:c r="C6" s="23" t="str">
        <x:v>Departments, cost centers, vendors, accounts, tax codes, currencies and payment methods</x:v>
      </x:c>
      <x:c r="D6" s="23" t="str">
        <x:v>Not Started</x:v>
      </x:c>
      <x:c r="E6" s="23" t="str">
        <x:v>Reference data is persisted, validated and safely administered</x:v>
      </x:c>
      <x:c r="F6" s="23" t="str">
        <x:v>PROJECT_MANIFEST.md</x:v>
      </x:c>
      <x:c r="G6" s="38"/>
      <x:c r="H6" s="23" t="str">
        <x:v>Backend Team</x:v>
      </x:c>
      <x:c r="I6" s="23" t="str">
        <x:v>Sensitive bank details encrypted and masked</x:v>
      </x:c>
    </x:row>
    <x:row r="7" ht="96" hidden="0" customHeight="1">
      <x:c r="A7" s="23" t="str">
        <x:v>P03</x:v>
      </x:c>
      <x:c r="B7" s="23" t="str">
        <x:v>Payment Requests</x:v>
      </x:c>
      <x:c r="C7" s="23" t="str">
        <x:v>Drafts, request types, numbering, line items, allocations, submission and locking</x:v>
      </x:c>
      <x:c r="D7" s="23" t="str">
        <x:v>Not Started</x:v>
      </x:c>
      <x:c r="E7" s="23" t="str">
        <x:v>Every request type persists and enforces ownership and totals</x:v>
      </x:c>
      <x:c r="F7" s="23" t="str">
        <x:v>PROJECT_MANIFEST.md</x:v>
      </x:c>
      <x:c r="G7" s="38"/>
      <x:c r="H7" s="23" t="str">
        <x:v>Backend Team</x:v>
      </x:c>
      <x:c r="I7" s="23" t="str">
        <x:v>Includes optimistic locking and duplicate checks</x:v>
      </x:c>
    </x:row>
    <x:row r="8" ht="96" hidden="0" customHeight="1">
      <x:c r="A8" s="23" t="str">
        <x:v>P04</x:v>
      </x:c>
      <x:c r="B8" s="23" t="str">
        <x:v>Documents</x:v>
      </x:c>
      <x:c r="C8" s="23" t="str">
        <x:v>Private files, metadata, checksum, replacement, rules, preview and review</x:v>
      </x:c>
      <x:c r="D8" s="23" t="str">
        <x:v>Not Started</x:v>
      </x:c>
      <x:c r="E8" s="23" t="str">
        <x:v>Protected document lifecycle works against persisted requests</x:v>
      </x:c>
      <x:c r="F8" s="23" t="str">
        <x:v>PROJECT_MANIFEST.md</x:v>
      </x:c>
      <x:c r="G8" s="38"/>
      <x:c r="H8" s="23" t="str">
        <x:v>Backend Team</x:v>
      </x:c>
      <x:c r="I8" s="23" t="str">
        <x:v>Malware scanning adapter required for production</x:v>
      </x:c>
    </x:row>
    <x:row r="9" ht="108" hidden="0" customHeight="1">
      <x:c r="A9" s="23" t="str">
        <x:v>P05</x:v>
      </x:c>
      <x:c r="B9" s="23" t="str">
        <x:v>Workflow and Approvals</x:v>
      </x:c>
      <x:c r="C9" s="23" t="str">
        <x:v>Routes, assignments, queues, decisions, delegation, rerouting and immutable events</x:v>
      </x:c>
      <x:c r="D9" s="23" t="str">
        <x:v>Not Started</x:v>
      </x:c>
      <x:c r="E9" s="23" t="str">
        <x:v>Backend state machine rejects invalid or duplicate transitions</x:v>
      </x:c>
      <x:c r="F9" s="23" t="str">
        <x:v>PROJECT_MANIFEST.md</x:v>
      </x:c>
      <x:c r="G9" s="38"/>
      <x:c r="H9" s="23" t="str">
        <x:v>Backend Team</x:v>
      </x:c>
      <x:c r="I9" s="23" t="str">
        <x:v>Policy snapshot required at submission</x:v>
      </x:c>
    </x:row>
    <x:row r="10" ht="108" hidden="0" customHeight="1">
      <x:c r="A10" s="23" t="str">
        <x:v>P06</x:v>
      </x:c>
      <x:c r="B10" s="23" t="str">
        <x:v>Finance and Vouchers</x:v>
      </x:c>
      <x:c r="C10" s="23" t="str">
        <x:v>VAT/EWT, accounting entries, validation, voucher snapshots and certification</x:v>
      </x:c>
      <x:c r="D10" s="23" t="str">
        <x:v>Not Started</x:v>
      </x:c>
      <x:c r="E10" s="23" t="str">
        <x:v>Balanced entries and approved persisted vouchers are enforced</x:v>
      </x:c>
      <x:c r="F10" s="23" t="str">
        <x:v>PROJECT_MANIFEST.md</x:v>
      </x:c>
      <x:c r="G10" s="38"/>
      <x:c r="H10" s="23" t="str">
        <x:v>Backend Team</x:v>
      </x:c>
      <x:c r="I10" s="23" t="str">
        <x:v>Financial calculations require boundary tests</x:v>
      </x:c>
    </x:row>
    <x:row r="11" ht="120" hidden="0" customHeight="1">
      <x:c r="A11" s="23" t="str">
        <x:v>P07</x:v>
      </x:c>
      <x:c r="B11" s="23" t="str">
        <x:v>Payment Execution</x:v>
      </x:c>
      <x:c r="C11" s="23" t="str">
        <x:v>Payment attempts, authorization, processing, release, retries, voids and replacements</x:v>
      </x:c>
      <x:c r="D11" s="23" t="str">
        <x:v>Not Started</x:v>
      </x:c>
      <x:c r="E11" s="23" t="str">
        <x:v>Segregation of duties and immutable payment history pass</x:v>
      </x:c>
      <x:c r="F11" s="23" t="str">
        <x:v>PROJECT_MANIFEST.md</x:v>
      </x:c>
      <x:c r="G11" s="38"/>
      <x:c r="H11" s="23" t="str">
        <x:v>Backend Team</x:v>
      </x:c>
      <x:c r="I11" s="23" t="str">
        <x:v>Support partial and multiple attempts</x:v>
      </x:c>
    </x:row>
    <x:row r="12" ht="96" hidden="0" customHeight="1">
      <x:c r="A12" s="23" t="str">
        <x:v>P08</x:v>
      </x:c>
      <x:c r="B12" s="23" t="str">
        <x:v>Notifications and Reporting</x:v>
      </x:c>
      <x:c r="C12" s="23" t="str">
        <x:v>Outbox, delivery history, dashboards, tracker, aging, exports and reports</x:v>
      </x:c>
      <x:c r="D12" s="23" t="str">
        <x:v>Not Started</x:v>
      </x:c>
      <x:c r="E12" s="23" t="str">
        <x:v>Durable notifications and reconciled report totals pass</x:v>
      </x:c>
      <x:c r="F12" s="23" t="str">
        <x:v>PROJECT_MANIFEST.md</x:v>
      </x:c>
      <x:c r="G12" s="38"/>
      <x:c r="H12" s="23" t="str">
        <x:v>Backend Team</x:v>
      </x:c>
      <x:c r="I12" s="23" t="str">
        <x:v>Development mailbox before production email</x:v>
      </x:c>
    </x:row>
    <x:row r="13" ht="108" hidden="0" customHeight="1">
      <x:c r="A13" s="24" t="str">
        <x:v>P09</x:v>
      </x:c>
      <x:c r="B13" s="24" t="str">
        <x:v>Administration and Integrations</x:v>
      </x:c>
      <x:c r="C13" s="24" t="str">
        <x:v>Policies, retention, monitoring, SAML, storage, ERP, banking and webhooks</x:v>
      </x:c>
      <x:c r="D13" s="24" t="str">
        <x:v>Not Started</x:v>
      </x:c>
      <x:c r="E13" s="24" t="str">
        <x:v>Adapters are replaceable, monitored and safely configurable</x:v>
      </x:c>
      <x:c r="F13" s="24" t="str">
        <x:v>PROJECT_MANIFEST.md</x:v>
      </x:c>
      <x:c r="G13" s="39"/>
      <x:c r="H13" s="24" t="str">
        <x:v>Backend Team</x:v>
      </x:c>
      <x:c r="I13" s="24" t="str">
        <x:v>Production ownership decisions required</x:v>
      </x:c>
    </x:row>
  </x:sheetData>
  <x:mergeCells>
    <x:mergeCell ref="A1:I1"/>
    <x:mergeCell ref="A2:I2"/>
  </x:mergeCells>
  <x:conditionalFormatting sqref="D4:D100">
    <x:cfRule type="containsText" dxfId="7" priority="1" operator="containsText" text="Passed"/>
    <x:cfRule type="containsText" dxfId="8" priority="2" operator="containsText" text="Validated"/>
    <x:cfRule type="containsText" dxfId="9" priority="3" operator="containsText" text="Accepted"/>
    <x:cfRule type="containsText" dxfId="10" priority="4" operator="containsText" text="Failed"/>
    <x:cfRule type="containsText" dxfId="11" priority="5" operator="containsText" text="Blocked"/>
    <x:cfRule type="containsText" dxfId="12" priority="6" operator="containsText" text="Not Run"/>
    <x:cfRule type="containsText" dxfId="13" priority="7" operator="containsText" text="Pending"/>
  </x:conditionalFormatting>
  <x:dataValidations count="1">
    <x:dataValidation type="list" sqref="D4:D100">
      <x:formula1>"Not Started,In Progress,Ready for Validation,Validated,Blocked"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18844ae4a24b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14" hidden="0" customWidth="1"/>
    <x:col min="9" max="9" width="34" hidden="0" customWidth="1"/>
    <x:col min="10" max="10" width="16" hidden="0" customWidth="1"/>
    <x:col min="11" max="11" width="16" hidden="0" customWidth="1"/>
    <x:col min="12" max="12" width="42" hidden="0" customWidth="1"/>
  </x:cols>
  <x:sheetData>
    <x:row r="1" ht="21.600000381469727" hidden="0" customHeight="1">
      <x:c r="A1" s="3" t="str">
        <x:v>Development Log</x:v>
      </x:c>
    </x:row>
    <x:row r="2" ht="15" hidden="0" customHeight="1">
      <x:c r="A2" s="6" t="str">
        <x:v>Implemented work and planned development items, linked to branch, build and evidence.</x:v>
      </x:c>
    </x:row>
    <x:row r="3" ht="26.399999618530273" hidden="0" customHeight="1">
      <x:c r="A3" s="13" t="str">
        <x:v>Dev ID</x:v>
      </x:c>
      <x:c r="B3" s="36" t="str">
        <x:v>Phase</x:v>
      </x:c>
      <x:c r="C3" s="36" t="str">
        <x:v>Work Item</x:v>
      </x:c>
      <x:c r="D3" s="36" t="str">
        <x:v>Area</x:v>
      </x:c>
      <x:c r="E3" s="36" t="str">
        <x:v>Type</x:v>
      </x:c>
      <x:c r="F3" s="36" t="str">
        <x:v>Status</x:v>
      </x:c>
      <x:c r="G3" s="36" t="str">
        <x:v>Branch</x:v>
      </x:c>
      <x:c r="H3" s="36" t="str">
        <x:v>Commit</x:v>
      </x:c>
      <x:c r="I3" s="36" t="str">
        <x:v>Evidence</x:v>
      </x:c>
      <x:c r="J3" s="36" t="str">
        <x:v>Owner</x:v>
      </x:c>
      <x:c r="K3" s="36" t="str">
        <x:v>Updated</x:v>
      </x:c>
      <x:c r="L3" s="14" t="str">
        <x:v>Notes</x:v>
      </x:c>
    </x:row>
    <x:row r="4" ht="72" hidden="0" customHeight="1">
      <x:c r="A4" s="22" t="str">
        <x:v>DEV-0001</x:v>
      </x:c>
      <x:c r="B4" s="22" t="str">
        <x:v>P00</x:v>
      </x:c>
      <x:c r="C4" s="22" t="str">
        <x:v>Versioned API routing</x:v>
      </x:c>
      <x:c r="D4" s="22" t="str">
        <x:v>FastAPI</x:v>
      </x:c>
      <x:c r="E4" s="22" t="str">
        <x:v>Feature</x:v>
      </x:c>
      <x:c r="F4" s="22" t="str">
        <x:v>Complete</x:v>
      </x:c>
      <x:c r="G4" s="22" t="str">
        <x:v>codex/backend-integration</x:v>
      </x:c>
      <x:c r="H4" s="22" t="str">
        <x:v>4ddd199</x:v>
      </x:c>
      <x:c r="I4" s="22" t="str">
        <x:v>/api and /api/v1/system/status</x:v>
      </x:c>
      <x:c r="J4" s="22" t="str">
        <x:v>Backend Team</x:v>
      </x:c>
      <x:c r="K4" s="37" t="n">
        <x:v>46259</x:v>
      </x:c>
      <x:c r="L4" s="22" t="str">
        <x:v>API discovery and versioned system route</x:v>
      </x:c>
    </x:row>
    <x:row r="5" ht="60" hidden="0" customHeight="1">
      <x:c r="A5" s="23" t="str">
        <x:v>DEV-0002</x:v>
      </x:c>
      <x:c r="B5" s="23" t="str">
        <x:v>P00</x:v>
      </x:c>
      <x:c r="C5" s="23" t="str">
        <x:v>Liveness and readiness</x:v>
      </x:c>
      <x:c r="D5" s="23" t="str">
        <x:v>Operations</x:v>
      </x:c>
      <x:c r="E5" s="23" t="str">
        <x:v>Feature</x:v>
      </x:c>
      <x:c r="F5" s="23" t="str">
        <x:v>Complete</x:v>
      </x:c>
      <x:c r="G5" s="23" t="str">
        <x:v>codex/backend-integration</x:v>
      </x:c>
      <x:c r="H5" s="23" t="str">
        <x:v>4ddd199</x:v>
      </x:c>
      <x:c r="I5" s="23" t="str">
        <x:v>/healthz and /readyz</x:v>
      </x:c>
      <x:c r="J5" s="23" t="str">
        <x:v>Backend Team</x:v>
      </x:c>
      <x:c r="K5" s="38" t="n">
        <x:v>46259</x:v>
      </x:c>
      <x:c r="L5" s="23" t="str">
        <x:v>Readiness checks PostgreSQL independently</x:v>
      </x:c>
    </x:row>
    <x:row r="6" ht="60" hidden="0" customHeight="1">
      <x:c r="A6" s="23" t="str">
        <x:v>DEV-0003</x:v>
      </x:c>
      <x:c r="B6" s="23" t="str">
        <x:v>P00</x:v>
      </x:c>
      <x:c r="C6" s="23" t="str">
        <x:v>PostgreSQL 16 Compose service</x:v>
      </x:c>
      <x:c r="D6" s="23" t="str">
        <x:v>Database</x:v>
      </x:c>
      <x:c r="E6" s="23" t="str">
        <x:v>Infrastructure</x:v>
      </x:c>
      <x:c r="F6" s="23" t="str">
        <x:v>Complete</x:v>
      </x:c>
      <x:c r="G6" s="23" t="str">
        <x:v>codex/backend-integration</x:v>
      </x:c>
      <x:c r="H6" s="23" t="str">
        <x:v>4ddd199</x:v>
      </x:c>
      <x:c r="I6" s="23" t="str">
        <x:v>docker-compose.yml</x:v>
      </x:c>
      <x:c r="J6" s="23" t="str">
        <x:v>Backend Team</x:v>
      </x:c>
      <x:c r="K6" s="38" t="n">
        <x:v>46259</x:v>
      </x:c>
      <x:c r="L6" s="23" t="str">
        <x:v>Persistent local volume and health check</x:v>
      </x:c>
    </x:row>
    <x:row r="7" ht="60" hidden="0" customHeight="1">
      <x:c r="A7" s="23" t="str">
        <x:v>DEV-0004</x:v>
      </x:c>
      <x:c r="B7" s="23" t="str">
        <x:v>P00</x:v>
      </x:c>
      <x:c r="C7" s="23" t="str">
        <x:v>SQLAlchemy and Psycopg foundation</x:v>
      </x:c>
      <x:c r="D7" s="23" t="str">
        <x:v>Database</x:v>
      </x:c>
      <x:c r="E7" s="23" t="str">
        <x:v>Feature</x:v>
      </x:c>
      <x:c r="F7" s="23" t="str">
        <x:v>Complete</x:v>
      </x:c>
      <x:c r="G7" s="23" t="str">
        <x:v>codex/backend-integration</x:v>
      </x:c>
      <x:c r="H7" s="23" t="str">
        <x:v>4ddd199</x:v>
      </x:c>
      <x:c r="I7" s="23" t="str">
        <x:v>api/payment_module/database.py</x:v>
      </x:c>
      <x:c r="J7" s="23" t="str">
        <x:v>Backend Team</x:v>
      </x:c>
      <x:c r="K7" s="38" t="n">
        <x:v>46259</x:v>
      </x:c>
      <x:c r="L7" s="23" t="str">
        <x:v>Session and rollback conventions</x:v>
      </x:c>
    </x:row>
    <x:row r="8" ht="48" hidden="0" customHeight="1">
      <x:c r="A8" s="23" t="str">
        <x:v>DEV-0005</x:v>
      </x:c>
      <x:c r="B8" s="23" t="str">
        <x:v>P00</x:v>
      </x:c>
      <x:c r="C8" s="23" t="str">
        <x:v>Alembic foundation migration</x:v>
      </x:c>
      <x:c r="D8" s="23" t="str">
        <x:v>Database</x:v>
      </x:c>
      <x:c r="E8" s="23" t="str">
        <x:v>Migration</x:v>
      </x:c>
      <x:c r="F8" s="23" t="str">
        <x:v>Complete</x:v>
      </x:c>
      <x:c r="G8" s="23" t="str">
        <x:v>codex/backend-integration</x:v>
      </x:c>
      <x:c r="H8" s="23" t="str">
        <x:v>4ddd199</x:v>
      </x:c>
      <x:c r="I8" s="23" t="str">
        <x:v>20260819_0001</x:v>
      </x:c>
      <x:c r="J8" s="23" t="str">
        <x:v>Backend Team</x:v>
      </x:c>
      <x:c r="K8" s="38" t="n">
        <x:v>46259</x:v>
      </x:c>
      <x:c r="L8" s="23" t="str">
        <x:v>Creates plural system_settings table</x:v>
      </x:c>
    </x:row>
    <x:row r="9" ht="48" hidden="0" customHeight="1">
      <x:c r="A9" s="23" t="str">
        <x:v>DEV-0006</x:v>
      </x:c>
      <x:c r="B9" s="23" t="str">
        <x:v>P00</x:v>
      </x:c>
      <x:c r="C9" s="23" t="str">
        <x:v>Deterministic seed</x:v>
      </x:c>
      <x:c r="D9" s="23" t="str">
        <x:v>Database</x:v>
      </x:c>
      <x:c r="E9" s="23" t="str">
        <x:v>Feature</x:v>
      </x:c>
      <x:c r="F9" s="23" t="str">
        <x:v>Complete</x:v>
      </x:c>
      <x:c r="G9" s="23" t="str">
        <x:v>codex/backend-integration</x:v>
      </x:c>
      <x:c r="H9" s="23" t="str">
        <x:v>4ddd199</x:v>
      </x:c>
      <x:c r="I9" s="23" t="str">
        <x:v>python -m payment_module.seed</x:v>
      </x:c>
      <x:c r="J9" s="23" t="str">
        <x:v>Backend Team</x:v>
      </x:c>
      <x:c r="K9" s="38" t="n">
        <x:v>46259</x:v>
      </x:c>
      <x:c r="L9" s="23" t="str">
        <x:v>Four idempotent system settings</x:v>
      </x:c>
    </x:row>
    <x:row r="10" ht="36" hidden="0" customHeight="1">
      <x:c r="A10" s="23" t="str">
        <x:v>DEV-0007</x:v>
      </x:c>
      <x:c r="B10" s="23" t="str">
        <x:v>P00</x:v>
      </x:c>
      <x:c r="C10" s="23" t="str">
        <x:v>Problem responses</x:v>
      </x:c>
      <x:c r="D10" s="23" t="str">
        <x:v>API</x:v>
      </x:c>
      <x:c r="E10" s="23" t="str">
        <x:v>Middleware</x:v>
      </x:c>
      <x:c r="F10" s="23" t="str">
        <x:v>Complete</x:v>
      </x:c>
      <x:c r="G10" s="23" t="str">
        <x:v>codex/backend-integration</x:v>
      </x:c>
      <x:c r="H10" s="23" t="str">
        <x:v>4ddd199</x:v>
      </x:c>
      <x:c r="I10" s="23" t="str">
        <x:v>application/problem+json</x:v>
      </x:c>
      <x:c r="J10" s="23" t="str">
        <x:v>Backend Team</x:v>
      </x:c>
      <x:c r="K10" s="38" t="n">
        <x:v>46259</x:v>
      </x:c>
      <x:c r="L10" s="23" t="str">
        <x:v>Standardized 404 and request ID</x:v>
      </x:c>
    </x:row>
    <x:row r="11" ht="36" hidden="0" customHeight="1">
      <x:c r="A11" s="23" t="str">
        <x:v>DEV-0008</x:v>
      </x:c>
      <x:c r="B11" s="23" t="str">
        <x:v>P00</x:v>
      </x:c>
      <x:c r="C11" s="23" t="str">
        <x:v>Correlation IDs and logging</x:v>
      </x:c>
      <x:c r="D11" s="23" t="str">
        <x:v>Operations</x:v>
      </x:c>
      <x:c r="E11" s="23" t="str">
        <x:v>Middleware</x:v>
      </x:c>
      <x:c r="F11" s="23" t="str">
        <x:v>Complete</x:v>
      </x:c>
      <x:c r="G11" s="23" t="str">
        <x:v>codex/backend-integration</x:v>
      </x:c>
      <x:c r="H11" s="23" t="str">
        <x:v>4ddd199</x:v>
      </x:c>
      <x:c r="I11" s="23" t="str">
        <x:v>X-Request-ID</x:v>
      </x:c>
      <x:c r="J11" s="23" t="str">
        <x:v>Backend Team</x:v>
      </x:c>
      <x:c r="K11" s="38" t="n">
        <x:v>46259</x:v>
      </x:c>
      <x:c r="L11" s="23" t="str">
        <x:v>Structured request logs</x:v>
      </x:c>
    </x:row>
    <x:row r="12" ht="60" hidden="0" customHeight="1">
      <x:c r="A12" s="23" t="str">
        <x:v>DEV-0009</x:v>
      </x:c>
      <x:c r="B12" s="23" t="str">
        <x:v>P00</x:v>
      </x:c>
      <x:c r="C12" s="23" t="str">
        <x:v>CORS configuration</x:v>
      </x:c>
      <x:c r="D12" s="23" t="str">
        <x:v>Security</x:v>
      </x:c>
      <x:c r="E12" s="23" t="str">
        <x:v>Middleware</x:v>
      </x:c>
      <x:c r="F12" s="23" t="str">
        <x:v>Complete</x:v>
      </x:c>
      <x:c r="G12" s="23" t="str">
        <x:v>codex/backend-integration</x:v>
      </x:c>
      <x:c r="H12" s="23" t="str">
        <x:v>4ddd199</x:v>
      </x:c>
      <x:c r="I12" s="23" t="str">
        <x:v>Origin http://127.0.0.1:5175</x:v>
      </x:c>
      <x:c r="J12" s="23" t="str">
        <x:v>Backend Team</x:v>
      </x:c>
      <x:c r="K12" s="38" t="n">
        <x:v>46259</x:v>
      </x:c>
      <x:c r="L12" s="23" t="str">
        <x:v>Configurable comma-separated origins</x:v>
      </x:c>
    </x:row>
    <x:row r="13" ht="48" hidden="0" customHeight="1">
      <x:c r="A13" s="23" t="str">
        <x:v>DEV-0010</x:v>
      </x:c>
      <x:c r="B13" s="23" t="str">
        <x:v>P00</x:v>
      </x:c>
      <x:c r="C13" s="23" t="str">
        <x:v>Philippine timezone</x:v>
      </x:c>
      <x:c r="D13" s="23" t="str">
        <x:v>Platform</x:v>
      </x:c>
      <x:c r="E13" s="23" t="str">
        <x:v>Convention</x:v>
      </x:c>
      <x:c r="F13" s="23" t="str">
        <x:v>Complete</x:v>
      </x:c>
      <x:c r="G13" s="23" t="str">
        <x:v>codex/backend-integration</x:v>
      </x:c>
      <x:c r="H13" s="23" t="str">
        <x:v>4ddd199</x:v>
      </x:c>
      <x:c r="I13" s="23" t="str">
        <x:v>Asia/Manila</x:v>
      </x:c>
      <x:c r="J13" s="23" t="str">
        <x:v>Backend Team</x:v>
      </x:c>
      <x:c r="K13" s="38" t="n">
        <x:v>46259</x:v>
      </x:c>
      <x:c r="L13" s="23" t="str">
        <x:v>API and database session aligned</x:v>
      </x:c>
    </x:row>
    <x:row r="14" ht="36" hidden="0" customHeight="1">
      <x:c r="A14" s="23" t="str">
        <x:v>DEV-0011</x:v>
      </x:c>
      <x:c r="B14" s="23" t="str">
        <x:v>P00</x:v>
      </x:c>
      <x:c r="C14" s="23" t="str">
        <x:v>Hybrid frontend adapter</x:v>
      </x:c>
      <x:c r="D14" s="23" t="str">
        <x:v>Frontend</x:v>
      </x:c>
      <x:c r="E14" s="23" t="str">
        <x:v>Feature</x:v>
      </x:c>
      <x:c r="F14" s="23" t="str">
        <x:v>Complete</x:v>
      </x:c>
      <x:c r="G14" s="23" t="str">
        <x:v>codex/backend-integration</x:v>
      </x:c>
      <x:c r="H14" s="23" t="str">
        <x:v>4ddd199</x:v>
      </x:c>
      <x:c r="I14" s="23" t="str">
        <x:v>API connected indicator</x:v>
      </x:c>
      <x:c r="J14" s="23" t="str">
        <x:v>Frontend Team</x:v>
      </x:c>
      <x:c r="K14" s="38" t="n">
        <x:v>46259</x:v>
      </x:c>
      <x:c r="L14" s="23" t="str">
        <x:v>Mock, hybrid and API modes</x:v>
      </x:c>
    </x:row>
    <x:row r="15" ht="48" hidden="0" customHeight="1">
      <x:c r="A15" s="23" t="str">
        <x:v>DEV-0012</x:v>
      </x:c>
      <x:c r="B15" s="23" t="str">
        <x:v>P00</x:v>
      </x:c>
      <x:c r="C15" s="23" t="str">
        <x:v>Backend CI and packaging</x:v>
      </x:c>
      <x:c r="D15" s="23" t="str">
        <x:v>Delivery</x:v>
      </x:c>
      <x:c r="E15" s="23" t="str">
        <x:v>CI/CD</x:v>
      </x:c>
      <x:c r="F15" s="23" t="str">
        <x:v>Complete</x:v>
      </x:c>
      <x:c r="G15" s="23" t="str">
        <x:v>codex/backend-integration</x:v>
      </x:c>
      <x:c r="H15" s="23" t="str">
        <x:v>4ddd199</x:v>
      </x:c>
      <x:c r="I15" s="23" t="str">
        <x:v>GitHub run 32719293106</x:v>
      </x:c>
      <x:c r="J15" s="23" t="str">
        <x:v>Backend Team</x:v>
      </x:c>
      <x:c r="K15" s="38" t="n">
        <x:v>46258</x:v>
      </x:c>
      <x:c r="L15" s="23" t="str">
        <x:v>Test and package jobs successful</x:v>
      </x:c>
    </x:row>
    <x:row r="16" ht="48" hidden="0" customHeight="1">
      <x:c r="A16" s="24" t="str">
        <x:v>DEV-0013</x:v>
      </x:c>
      <x:c r="B16" s="24" t="str">
        <x:v>P00</x:v>
      </x:c>
      <x:c r="C16" s="24" t="str">
        <x:v>Local Docker validation</x:v>
      </x:c>
      <x:c r="D16" s="24" t="str">
        <x:v>Delivery</x:v>
      </x:c>
      <x:c r="E16" s="24" t="str">
        <x:v>Environment</x:v>
      </x:c>
      <x:c r="F16" s="24" t="str">
        <x:v>Complete</x:v>
      </x:c>
      <x:c r="G16" s="24" t="str">
        <x:v>codex/backend-integration</x:v>
      </x:c>
      <x:c r="H16" s="24" t="str">
        <x:v>4ddd199</x:v>
      </x:c>
      <x:c r="I16" s="24" t="str">
        <x:v>Docker 29.6.2 / WSL 2.7.12</x:v>
      </x:c>
      <x:c r="J16" s="24" t="str">
        <x:v>Paolo Ylag</x:v>
      </x:c>
      <x:c r="K16" s="39" t="n">
        <x:v>46259</x:v>
      </x:c>
      <x:c r="L16" s="24" t="str">
        <x:v>PostgreSQL and API containers healthy</x:v>
      </x:c>
    </x:row>
    <x:row r="17" ht="54" customHeight="1">
      <x:c r="A17" s="41" t="str">
        <x:v>DEV-0014</x:v>
      </x:c>
      <x:c r="B17" s="41" t="str">
        <x:v>P01</x:v>
      </x:c>
      <x:c r="C17" s="41" t="str">
        <x:v>Identity and RBAC schema</x:v>
      </x:c>
      <x:c r="D17" s="41" t="str">
        <x:v>Database</x:v>
      </x:c>
      <x:c r="E17" s="41" t="str">
        <x:v>Migration</x:v>
      </x:c>
      <x:c r="F17" s="41" t="str">
        <x:v>Complete</x:v>
      </x:c>
      <x:c r="G17" s="41" t="str">
        <x:v>codex/backend-integration</x:v>
      </x:c>
      <x:c r="H17" s="41" t="str">
        <x:v>a796a43</x:v>
      </x:c>
      <x:c r="I17" s="41" t="str">
        <x:v>20260825_0002</x:v>
      </x:c>
      <x:c r="J17" s="41" t="str">
        <x:v>Backend Team</x:v>
      </x:c>
      <x:c r="K17" s="42" t="n">
        <x:v>46260</x:v>
      </x:c>
      <x:c r="L17" s="41" t="str">
        <x:v>Users, departments, roles, permissions, sessions and audit events</x:v>
      </x:c>
    </x:row>
    <x:row r="18" ht="54" customHeight="1">
      <x:c r="A18" s="41" t="str">
        <x:v>DEV-0015</x:v>
      </x:c>
      <x:c r="B18" s="41" t="str">
        <x:v>P01</x:v>
      </x:c>
      <x:c r="C18" s="41" t="str">
        <x:v>Requestor-manager association</x:v>
      </x:c>
      <x:c r="D18" s="41" t="str">
        <x:v>Identity</x:v>
      </x:c>
      <x:c r="E18" s="41" t="str">
        <x:v>Migration</x:v>
      </x:c>
      <x:c r="F18" s="41" t="str">
        <x:v>Complete</x:v>
      </x:c>
      <x:c r="G18" s="41" t="str">
        <x:v>codex/backend-integration</x:v>
      </x:c>
      <x:c r="H18" s="41" t="str">
        <x:v>a796a43</x:v>
      </x:c>
      <x:c r="I18" s="41" t="str">
        <x:v>20260825_0003</x:v>
      </x:c>
      <x:c r="J18" s="41" t="str">
        <x:v>Backend Team</x:v>
      </x:c>
      <x:c r="K18" s="42" t="n">
        <x:v>46260</x:v>
      </x:c>
      <x:c r="L18" s="41" t="str">
        <x:v>Self-assignment and manager cycles rejected</x:v>
      </x:c>
    </x:row>
    <x:row r="19" ht="54" customHeight="1">
      <x:c r="A19" s="41" t="str">
        <x:v>DEV-0016</x:v>
      </x:c>
      <x:c r="B19" s="41" t="str">
        <x:v>P01</x:v>
      </x:c>
      <x:c r="C19" s="41" t="str">
        <x:v>Local authentication and sessions</x:v>
      </x:c>
      <x:c r="D19" s="41" t="str">
        <x:v>Security</x:v>
      </x:c>
      <x:c r="E19" s="41" t="str">
        <x:v>Feature</x:v>
      </x:c>
      <x:c r="F19" s="41" t="str">
        <x:v>Complete</x:v>
      </x:c>
      <x:c r="G19" s="41" t="str">
        <x:v>codex/backend-integration</x:v>
      </x:c>
      <x:c r="H19" s="41" t="str">
        <x:v>a796a43</x:v>
      </x:c>
      <x:c r="I19" s="41" t="str">
        <x:v>api/payment_module/routers/auth.py</x:v>
      </x:c>
      <x:c r="J19" s="41" t="str">
        <x:v>Backend Team</x:v>
      </x:c>
      <x:c r="K19" s="42" t="n">
        <x:v>46260</x:v>
      </x:c>
      <x:c r="L19" s="41" t="str">
        <x:v>Local password authentication remains available with future SAML</x:v>
      </x:c>
    </x:row>
    <x:row r="20" ht="54" customHeight="1">
      <x:c r="A20" s="41" t="str">
        <x:v>DEV-0017</x:v>
      </x:c>
      <x:c r="B20" s="41" t="str">
        <x:v>P01</x:v>
      </x:c>
      <x:c r="C20" s="41" t="str">
        <x:v>Role and permission enforcement</x:v>
      </x:c>
      <x:c r="D20" s="41" t="str">
        <x:v>Security</x:v>
      </x:c>
      <x:c r="E20" s="41" t="str">
        <x:v>Feature</x:v>
      </x:c>
      <x:c r="F20" s="41" t="str">
        <x:v>Complete</x:v>
      </x:c>
      <x:c r="G20" s="41" t="str">
        <x:v>codex/backend-integration</x:v>
      </x:c>
      <x:c r="H20" s="41" t="str">
        <x:v>a796a43</x:v>
      </x:c>
      <x:c r="I20" s="41" t="str">
        <x:v>api/payment_module/security.py</x:v>
      </x:c>
      <x:c r="J20" s="41" t="str">
        <x:v>Backend Team</x:v>
      </x:c>
      <x:c r="K20" s="42" t="n">
        <x:v>46260</x:v>
      </x:c>
      <x:c r="L20" s="41" t="str">
        <x:v>Explicit user deny overrides role grants</x:v>
      </x:c>
    </x:row>
    <x:row r="21" ht="54" customHeight="1">
      <x:c r="A21" s="41" t="str">
        <x:v>DEV-0018</x:v>
      </x:c>
      <x:c r="B21" s="41" t="str">
        <x:v>P01</x:v>
      </x:c>
      <x:c r="C21" s="41" t="str">
        <x:v>User administration CRUD</x:v>
      </x:c>
      <x:c r="D21" s="41" t="str">
        <x:v>Administration</x:v>
      </x:c>
      <x:c r="E21" s="41" t="str">
        <x:v>Feature</x:v>
      </x:c>
      <x:c r="F21" s="41" t="str">
        <x:v>Complete</x:v>
      </x:c>
      <x:c r="G21" s="41" t="str">
        <x:v>codex/backend-integration</x:v>
      </x:c>
      <x:c r="H21" s="41" t="str">
        <x:v>a796a43</x:v>
      </x:c>
      <x:c r="I21" s="41" t="str">
        <x:v>/api/v1/users</x:v>
      </x:c>
      <x:c r="J21" s="41" t="str">
        <x:v>Backend Team</x:v>
      </x:c>
      <x:c r="K21" s="42" t="n">
        <x:v>46260</x:v>
      </x:c>
      <x:c r="L21" s="41" t="str">
        <x:v>Create, edit, delete, suspend and manager assignment</x:v>
      </x:c>
    </x:row>
    <x:row r="22" ht="54" customHeight="1">
      <x:c r="A22" s="41" t="str">
        <x:v>DEV-0019</x:v>
      </x:c>
      <x:c r="B22" s="41" t="str">
        <x:v>P01</x:v>
      </x:c>
      <x:c r="C22" s="41" t="str">
        <x:v>Role and permission CRUD</x:v>
      </x:c>
      <x:c r="D22" s="41" t="str">
        <x:v>Administration</x:v>
      </x:c>
      <x:c r="E22" s="41" t="str">
        <x:v>Feature</x:v>
      </x:c>
      <x:c r="F22" s="41" t="str">
        <x:v>Complete</x:v>
      </x:c>
      <x:c r="G22" s="41" t="str">
        <x:v>codex/backend-integration</x:v>
      </x:c>
      <x:c r="H22" s="41" t="str">
        <x:v>a796a43</x:v>
      </x:c>
      <x:c r="I22" s="41" t="str">
        <x:v>/api/v1/roles and /api/v1/permissions</x:v>
      </x:c>
      <x:c r="J22" s="41" t="str">
        <x:v>Backend Team</x:v>
      </x:c>
      <x:c r="K22" s="42" t="n">
        <x:v>46260</x:v>
      </x:c>
      <x:c r="L22" s="41" t="str">
        <x:v>Deletion safeguards preserve assigned access records</x:v>
      </x:c>
    </x:row>
    <x:row r="23" ht="54" customHeight="1">
      <x:c r="A23" s="41" t="str">
        <x:v>DEV-0020</x:v>
      </x:c>
      <x:c r="B23" s="41" t="str">
        <x:v>P01</x:v>
      </x:c>
      <x:c r="C23" s="41" t="str">
        <x:v>Department administration CRUD</x:v>
      </x:c>
      <x:c r="D23" s="41" t="str">
        <x:v>Administration</x:v>
      </x:c>
      <x:c r="E23" s="41" t="str">
        <x:v>Feature</x:v>
      </x:c>
      <x:c r="F23" s="41" t="str">
        <x:v>Complete</x:v>
      </x:c>
      <x:c r="G23" s="41" t="str">
        <x:v>codex/backend-integration</x:v>
      </x:c>
      <x:c r="H23" s="41" t="str">
        <x:v>a796a43</x:v>
      </x:c>
      <x:c r="I23" s="41" t="str">
        <x:v>/api/v1/departments</x:v>
      </x:c>
      <x:c r="J23" s="41" t="str">
        <x:v>Backend Team</x:v>
      </x:c>
      <x:c r="K23" s="42" t="n">
        <x:v>46260</x:v>
      </x:c>
      <x:c r="L23" s="41" t="str">
        <x:v>Initial departments plus audited future additions</x:v>
      </x:c>
    </x:row>
    <x:row r="24" ht="54" customHeight="1">
      <x:c r="A24" s="41" t="str">
        <x:v>DEV-0021</x:v>
      </x:c>
      <x:c r="B24" s="41" t="str">
        <x:v>P01</x:v>
      </x:c>
      <x:c r="C24" s="41" t="str">
        <x:v>Append-only identity audit</x:v>
      </x:c>
      <x:c r="D24" s="41" t="str">
        <x:v>Audit</x:v>
      </x:c>
      <x:c r="E24" s="41" t="str">
        <x:v>Feature</x:v>
      </x:c>
      <x:c r="F24" s="41" t="str">
        <x:v>Complete</x:v>
      </x:c>
      <x:c r="G24" s="41" t="str">
        <x:v>codex/backend-integration</x:v>
      </x:c>
      <x:c r="H24" s="41" t="str">
        <x:v>a796a43</x:v>
      </x:c>
      <x:c r="I24" s="41" t="str">
        <x:v>api/payment_module/audit.py</x:v>
      </x:c>
      <x:c r="J24" s="41" t="str">
        <x:v>Backend Team</x:v>
      </x:c>
      <x:c r="K24" s="42" t="n">
        <x:v>46260</x:v>
      </x:c>
      <x:c r="L24" s="41" t="str">
        <x:v>Actor, entity, request ID and before/after values recorded</x:v>
      </x:c>
    </x:row>
    <x:row r="25" ht="54" customHeight="1">
      <x:c r="A25" s="41" t="str">
        <x:v>DEV-0022</x:v>
      </x:c>
      <x:c r="B25" s="41" t="str">
        <x:v>P01</x:v>
      </x:c>
      <x:c r="C25" s="41" t="str">
        <x:v>Retained-session cleanup safeguards</x:v>
      </x:c>
      <x:c r="D25" s="41" t="str">
        <x:v>Security</x:v>
      </x:c>
      <x:c r="E25" s="41" t="str">
        <x:v>Maintenance</x:v>
      </x:c>
      <x:c r="F25" s="41" t="str">
        <x:v>Complete</x:v>
      </x:c>
      <x:c r="G25" s="41" t="str">
        <x:v>codex/backend-integration</x:v>
      </x:c>
      <x:c r="H25" s="41" t="str">
        <x:v>a796a43</x:v>
      </x:c>
      <x:c r="I25" s="41" t="str">
        <x:v>20260826_0004 / maintenance.py</x:v>
      </x:c>
      <x:c r="J25" s="41" t="str">
        <x:v>Backend Team</x:v>
      </x:c>
      <x:c r="K25" s="42" t="n">
        <x:v>46260</x:v>
      </x:c>
      <x:c r="L25" s="41" t="str">
        <x:v>Disabled by default; hard-refuses staging and production</x:v>
      </x:c>
    </x:row>
    <x:row r="26" ht="54" customHeight="1">
      <x:c r="A26" s="41" t="str">
        <x:v>DEV-0023</x:v>
      </x:c>
      <x:c r="B26" s="41" t="str">
        <x:v>P01</x:v>
      </x:c>
      <x:c r="C26" s="41" t="str">
        <x:v>Identity administration frontend</x:v>
      </x:c>
      <x:c r="D26" s="41" t="str">
        <x:v>Frontend</x:v>
      </x:c>
      <x:c r="E26" s="41" t="str">
        <x:v>Feature</x:v>
      </x:c>
      <x:c r="F26" s="41" t="str">
        <x:v>Complete</x:v>
      </x:c>
      <x:c r="G26" s="41" t="str">
        <x:v>codex/backend-integration</x:v>
      </x:c>
      <x:c r="H26" s="41" t="str">
        <x:v>a796a43</x:v>
      </x:c>
      <x:c r="I26" s="41" t="str">
        <x:v>Users, Roles &amp; Permissions, Departments</x:v>
      </x:c>
      <x:c r="J26" s="41" t="str">
        <x:v>Frontend Team</x:v>
      </x:c>
      <x:c r="K26" s="42" t="n">
        <x:v>46260</x:v>
      </x:c>
      <x:c r="L26" s="41" t="str">
        <x:v>Uniform lists, modals and floating row actions</x:v>
      </x:c>
    </x:row>
    <x:row r="27" ht="54" customHeight="1">
      <x:c r="A27" s="41" t="str">
        <x:v>DEV-0024</x:v>
      </x:c>
      <x:c r="B27" s="41" t="str">
        <x:v>P01</x:v>
      </x:c>
      <x:c r="C27" s="41" t="str">
        <x:v>Account and login experience</x:v>
      </x:c>
      <x:c r="D27" s="41" t="str">
        <x:v>Frontend</x:v>
      </x:c>
      <x:c r="E27" s="41" t="str">
        <x:v>Feature</x:v>
      </x:c>
      <x:c r="F27" s="41" t="str">
        <x:v>Complete</x:v>
      </x:c>
      <x:c r="G27" s="41" t="str">
        <x:v>codex/backend-integration</x:v>
      </x:c>
      <x:c r="H27" s="41" t="str">
        <x:v>a796a43</x:v>
      </x:c>
      <x:c r="I27" s="41" t="str">
        <x:v>Login card and sidebar account menu</x:v>
      </x:c>
      <x:c r="J27" s="41" t="str">
        <x:v>Frontend Team</x:v>
      </x:c>
      <x:c r="K27" s="42" t="n">
        <x:v>46260</x:v>
      </x:c>
      <x:c r="L27" s="41" t="str">
        <x:v>Session loading remains on login card; account menu floats</x:v>
      </x:c>
    </x:row>
    <x:row r="28" ht="54" customHeight="1">
      <x:c r="A28" s="41" t="str">
        <x:v>DEV-0025</x:v>
      </x:c>
      <x:c r="B28" s="41" t="str">
        <x:v>P01</x:v>
      </x:c>
      <x:c r="C28" s="41" t="str">
        <x:v>Excel transaction export</x:v>
      </x:c>
      <x:c r="D28" s="41" t="str">
        <x:v>Frontend</x:v>
      </x:c>
      <x:c r="E28" s="41" t="str">
        <x:v>Feature</x:v>
      </x:c>
      <x:c r="F28" s="41" t="str">
        <x:v>Complete</x:v>
      </x:c>
      <x:c r="G28" s="41" t="str">
        <x:v>codex/backend-integration</x:v>
      </x:c>
      <x:c r="H28" s="41" t="str">
        <x:v>44e876e</x:v>
      </x:c>
      <x:c r="I28" s="41" t="str">
        <x:v>Export Excel + verified XLSX</x:v>
      </x:c>
      <x:c r="J28" s="41" t="str">
        <x:v>Frontend Team</x:v>
      </x:c>
      <x:c r="K28" s="42" t="n">
        <x:v>46262</x:v>
      </x:c>
      <x:c r="L28" s="41" t="str">
        <x:v>Filtered Finance report reopened with correct sheets, rows, and total</x:v>
      </x:c>
    </x:row>
    <x:row r="29" ht="54" customHeight="1">
      <x:c r="A29" s="41" t="str">
        <x:v>DEV-0026</x:v>
      </x:c>
      <x:c r="B29" s="41" t="str">
        <x:v>P01</x:v>
      </x:c>
      <x:c r="C29" s="41" t="str">
        <x:v>Phase 01 validation and release</x:v>
      </x:c>
      <x:c r="D29" s="41" t="str">
        <x:v>Delivery</x:v>
      </x:c>
      <x:c r="E29" s="41" t="str">
        <x:v>Quality</x:v>
      </x:c>
      <x:c r="F29" s="41" t="str">
        <x:v>Complete</x:v>
      </x:c>
      <x:c r="G29" s="41" t="str">
        <x:v>codex/backend-integration</x:v>
      </x:c>
      <x:c r="H29" s="41" t="str">
        <x:v>44e876e</x:v>
      </x:c>
      <x:c r="I29" s="41" t="str">
        <x:v>28 tests / 90.59% / clean audits / release archive</x:v>
      </x:c>
      <x:c r="J29" s="41" t="str">
        <x:v>Paolo Ylag</x:v>
      </x:c>
      <x:c r="K29" s="42" t="n">
        <x:v>46262</x:v>
      </x:c>
      <x:c r="L29" s="41" t="str">
        <x:v>Local release gates passed; external production-promotion checks recorded</x:v>
      </x:c>
    </x:row>
    <x:row r="30" ht="54" customHeight="1">
      <x:c r="A30" s="41" t="str">
        <x:v>DEV-0027</x:v>
      </x:c>
      <x:c r="B30" s="41" t="str">
        <x:v>P01</x:v>
      </x:c>
      <x:c r="C30" s="41" t="str">
        <x:v>Frontend-only synchronization</x:v>
      </x:c>
      <x:c r="D30" s="41" t="str">
        <x:v>Frontend</x:v>
      </x:c>
      <x:c r="E30" s="41" t="str">
        <x:v>Delivery</x:v>
      </x:c>
      <x:c r="F30" s="41" t="str">
        <x:v>Complete</x:v>
      </x:c>
      <x:c r="G30" s="41" t="str">
        <x:v>codex/frontend-only-prototype</x:v>
      </x:c>
      <x:c r="H30" s="41" t="str">
        <x:v>7043f0f</x:v>
      </x:c>
      <x:c r="I30" s="41" t="str">
        <x:v>Standalone mock-mode build and route smoke test</x:v>
      </x:c>
      <x:c r="J30" s="41" t="str">
        <x:v>Frontend Team</x:v>
      </x:c>
      <x:c r="K30" s="42" t="n">
        <x:v>46261</x:v>
      </x:c>
      <x:c r="L30" s="41" t="str">
        <x:v>Six reviewed assets synchronized without backend code</x:v>
      </x:c>
    </x:row>
  </x:sheetData>
  <x:mergeCells>
    <x:mergeCell ref="A1:L1"/>
    <x:mergeCell ref="A2:L2"/>
  </x:mergeCells>
  <x:conditionalFormatting sqref="F4:F300">
    <x:cfRule type="containsText" dxfId="14" priority="1" operator="containsText" text="Passed"/>
    <x:cfRule type="containsText" dxfId="15" priority="2" operator="containsText" text="Validated"/>
    <x:cfRule type="containsText" dxfId="16" priority="3" operator="containsText" text="Accepted"/>
    <x:cfRule type="containsText" dxfId="17" priority="4" operator="containsText" text="Failed"/>
    <x:cfRule type="containsText" dxfId="18" priority="5" operator="containsText" text="Blocked"/>
    <x:cfRule type="containsText" dxfId="19" priority="6" operator="containsText" text="Not Run"/>
    <x:cfRule type="containsText" dxfId="20" priority="7" operator="containsText" text="Pending"/>
  </x:conditionalFormatting>
  <x:dataValidations count="1">
    <x:dataValidation type="list" sqref="F4:F300">
      <x:formula1>"Planned,In Progress,Complete,Blocked,Deferred"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96d21a830a42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5" hidden="0" customWidth="1"/>
    <x:col min="5" max="5" width="38" hidden="0" customWidth="1"/>
    <x:col min="6" max="6" width="38" hidden="0" customWidth="1"/>
    <x:col min="7" max="7" width="38" hidden="0" customWidth="1"/>
    <x:col min="8" max="8" width="14" hidden="0" customWidth="1"/>
    <x:col min="9" max="9" width="46" hidden="0" customWidth="1"/>
    <x:col min="10" max="10" width="16" hidden="0" customWidth="1"/>
    <x:col min="11" max="11" width="16" hidden="0" customWidth="1"/>
    <x:col min="12" max="12" width="16" hidden="0" customWidth="1"/>
    <x:col min="13" max="13" width="38" hidden="0" customWidth="1"/>
  </x:cols>
  <x:sheetData>
    <x:row r="1" ht="21.600000381469727" hidden="0" customHeight="1">
      <x:c r="A1" s="3" t="str">
        <x:v>Test Case Catalog</x:v>
      </x:c>
    </x:row>
    <x:row r="2" ht="15" hidden="0" customHeight="1">
      <x:c r="A2" s="6" t="str">
        <x:v>Master test definitions. Add a new execution row for every run; do not overwrite historical evidence.</x:v>
      </x:c>
    </x:row>
    <x:row r="3" ht="39.599998474121094" hidden="0" customHeight="1">
      <x:c r="A3" s="13" t="str">
        <x:v>Test ID</x:v>
      </x:c>
      <x:c r="B3" s="36" t="str">
        <x:v>Phase</x:v>
      </x:c>
      <x:c r="C3" s="36" t="str">
        <x:v>Feature</x:v>
      </x:c>
      <x:c r="D3" s="36" t="str">
        <x:v>Test Type</x:v>
      </x:c>
      <x:c r="E3" s="36" t="str">
        <x:v>Preconditions</x:v>
      </x:c>
      <x:c r="F3" s="36" t="str">
        <x:v>Steps</x:v>
      </x:c>
      <x:c r="G3" s="36" t="str">
        <x:v>Expected Result</x:v>
      </x:c>
      <x:c r="H3" s="36" t="str">
        <x:v>Automation</x:v>
      </x:c>
      <x:c r="I3" s="36" t="str">
        <x:v>Command / URL</x:v>
      </x:c>
      <x:c r="J3" s="36" t="str">
        <x:v>Priority</x:v>
      </x:c>
      <x:c r="K3" s="36" t="str">
        <x:v>Current Result</x:v>
      </x:c>
      <x:c r="L3" s="36" t="str">
        <x:v>Acceptance Required</x:v>
      </x:c>
      <x:c r="M3" s="14" t="str">
        <x:v>Evidence / Notes</x:v>
      </x:c>
    </x:row>
    <x:row r="4" ht="72" hidden="0" customHeight="1">
      <x:c r="A4" s="22" t="str">
        <x:v>TC-P00-001</x:v>
      </x:c>
      <x:c r="B4" s="22" t="str">
        <x:v>P00</x:v>
      </x:c>
      <x:c r="C4" s="22" t="str">
        <x:v>Process liveness</x:v>
      </x:c>
      <x:c r="D4" s="22" t="str">
        <x:v>API</x:v>
      </x:c>
      <x:c r="E4" s="22" t="str">
        <x:v>Compose stack running</x:v>
      </x:c>
      <x:c r="F4" s="22" t="str">
        <x:v>GET /healthz</x:v>
      </x:c>
      <x:c r="G4" s="22" t="str">
        <x:v>HTTP 200, status=ok, X-Request-ID present</x:v>
      </x:c>
      <x:c r="H4" s="22" t="str">
        <x:v>Automated</x:v>
      </x:c>
      <x:c r="I4" s="22" t="str">
        <x:v>pytest tests/test_system.py::test_liveness_returns_request_id</x:v>
      </x:c>
      <x:c r="J4" s="22" t="str">
        <x:v>Critical</x:v>
      </x:c>
      <x:c r="K4" s="22" t="str">
        <x:v>Passed</x:v>
      </x:c>
      <x:c r="L4" s="22" t="str">
        <x:v>Yes</x:v>
      </x:c>
      <x:c r="M4" s="22" t="str">
        <x:v>Local run 2026-08-25</x:v>
      </x:c>
    </x:row>
    <x:row r="5" ht="72" hidden="0" customHeight="1">
      <x:c r="A5" s="23" t="str">
        <x:v>TC-P00-002</x:v>
      </x:c>
      <x:c r="B5" s="23" t="str">
        <x:v>P00</x:v>
      </x:c>
      <x:c r="C5" s="23" t="str">
        <x:v>Database readiness</x:v>
      </x:c>
      <x:c r="D5" s="23" t="str">
        <x:v>Integration</x:v>
      </x:c>
      <x:c r="E5" s="23" t="str">
        <x:v>PostgreSQL healthy</x:v>
      </x:c>
      <x:c r="F5" s="23" t="str">
        <x:v>GET /readyz</x:v>
      </x:c>
      <x:c r="G5" s="23" t="str">
        <x:v>HTTP 200, status=ready, database=connected</x:v>
      </x:c>
      <x:c r="H5" s="23" t="str">
        <x:v>Automated</x:v>
      </x:c>
      <x:c r="I5" s="23" t="str">
        <x:v>pytest tests/test_system.py::test_readiness_requires_database</x:v>
      </x:c>
      <x:c r="J5" s="23" t="str">
        <x:v>Critical</x:v>
      </x:c>
      <x:c r="K5" s="23" t="str">
        <x:v>Passed</x:v>
      </x:c>
      <x:c r="L5" s="23" t="str">
        <x:v>Yes</x:v>
      </x:c>
      <x:c r="M5" s="23" t="str">
        <x:v>Local Docker run 2026-08-25</x:v>
      </x:c>
    </x:row>
    <x:row r="6" ht="84" hidden="0" customHeight="1">
      <x:c r="A6" s="23" t="str">
        <x:v>TC-P00-003</x:v>
      </x:c>
      <x:c r="B6" s="23" t="str">
        <x:v>P00</x:v>
      </x:c>
      <x:c r="C6" s="23" t="str">
        <x:v>API discovery</x:v>
      </x:c>
      <x:c r="D6" s="23" t="str">
        <x:v>API</x:v>
      </x:c>
      <x:c r="E6" s="23" t="str">
        <x:v>API running</x:v>
      </x:c>
      <x:c r="F6" s="23" t="str">
        <x:v>GET /api</x:v>
      </x:c>
      <x:c r="G6" s="23" t="str">
        <x:v>Version, environment, /api/v1 prefix and /docs returned</x:v>
      </x:c>
      <x:c r="H6" s="23" t="str">
        <x:v>Automated</x:v>
      </x:c>
      <x:c r="I6" s="23" t="str">
        <x:v>pytest tests/test_system.py::test_api_root_describes_versioned_api</x:v>
      </x:c>
      <x:c r="J6" s="23" t="str">
        <x:v>High</x:v>
      </x:c>
      <x:c r="K6" s="23" t="str">
        <x:v>Passed</x:v>
      </x:c>
      <x:c r="L6" s="23" t="str">
        <x:v>Yes</x:v>
      </x:c>
      <x:c r="M6" s="23" t="str">
        <x:v>Local run 2026-08-25</x:v>
      </x:c>
    </x:row>
    <x:row r="7" ht="96" hidden="0" customHeight="1">
      <x:c r="A7" s="23" t="str">
        <x:v>TC-P00-004</x:v>
      </x:c>
      <x:c r="B7" s="23" t="str">
        <x:v>P00</x:v>
      </x:c>
      <x:c r="C7" s="23" t="str">
        <x:v>System status</x:v>
      </x:c>
      <x:c r="D7" s="23" t="str">
        <x:v>Integration</x:v>
      </x:c>
      <x:c r="E7" s="23" t="str">
        <x:v>Database connected</x:v>
      </x:c>
      <x:c r="F7" s="23" t="str">
        <x:v>GET /api/v1/system/status</x:v>
      </x:c>
      <x:c r="G7" s="23" t="str">
        <x:v>Asia/Manila and database=connected</x:v>
      </x:c>
      <x:c r="H7" s="23" t="str">
        <x:v>Automated</x:v>
      </x:c>
      <x:c r="I7" s="23" t="str">
        <x:v>pytest tests/test_system.py::test_system_status_uses_philippine_timezone</x:v>
      </x:c>
      <x:c r="J7" s="23" t="str">
        <x:v>Critical</x:v>
      </x:c>
      <x:c r="K7" s="23" t="str">
        <x:v>Passed</x:v>
      </x:c>
      <x:c r="L7" s="23" t="str">
        <x:v>Yes</x:v>
      </x:c>
      <x:c r="M7" s="23" t="str">
        <x:v>Local Docker run 2026-08-25</x:v>
      </x:c>
    </x:row>
    <x:row r="8" ht="84" hidden="0" customHeight="1">
      <x:c r="A8" s="23" t="str">
        <x:v>TC-P00-005</x:v>
      </x:c>
      <x:c r="B8" s="23" t="str">
        <x:v>P00</x:v>
      </x:c>
      <x:c r="C8" s="23" t="str">
        <x:v>Problem response</x:v>
      </x:c>
      <x:c r="D8" s="23" t="str">
        <x:v>Negative</x:v>
      </x:c>
      <x:c r="E8" s="23" t="str">
        <x:v>API running</x:v>
      </x:c>
      <x:c r="F8" s="23" t="str">
        <x:v>GET /missing</x:v>
      </x:c>
      <x:c r="G8" s="23" t="str">
        <x:v>404 application/problem+json with code and request_id</x:v>
      </x:c>
      <x:c r="H8" s="23" t="str">
        <x:v>Automated</x:v>
      </x:c>
      <x:c r="I8" s="23" t="str">
        <x:v>pytest tests/test_system.py::test_not_found_uses_problem_details</x:v>
      </x:c>
      <x:c r="J8" s="23" t="str">
        <x:v>High</x:v>
      </x:c>
      <x:c r="K8" s="23" t="str">
        <x:v>Passed</x:v>
      </x:c>
      <x:c r="L8" s="23" t="str">
        <x:v>Yes</x:v>
      </x:c>
      <x:c r="M8" s="23" t="str">
        <x:v>Local run 2026-08-25</x:v>
      </x:c>
    </x:row>
    <x:row r="9" ht="72" hidden="0" customHeight="1">
      <x:c r="A9" s="23" t="str">
        <x:v>TC-P00-006</x:v>
      </x:c>
      <x:c r="B9" s="23" t="str">
        <x:v>P00</x:v>
      </x:c>
      <x:c r="C9" s="23" t="str">
        <x:v>Request ID propagation</x:v>
      </x:c>
      <x:c r="D9" s="23" t="str">
        <x:v>API</x:v>
      </x:c>
      <x:c r="E9" s="23" t="str">
        <x:v>API running</x:v>
      </x:c>
      <x:c r="F9" s="23" t="str">
        <x:v>Send X-Request-ID header</x:v>
      </x:c>
      <x:c r="G9" s="23" t="str">
        <x:v>Response returns the supplied trace identifier</x:v>
      </x:c>
      <x:c r="H9" s="23" t="str">
        <x:v>Manual</x:v>
      </x:c>
      <x:c r="I9" s="23" t="str">
        <x:v>Invoke-WebRequest with X-Request-ID</x:v>
      </x:c>
      <x:c r="J9" s="23" t="str">
        <x:v>Medium</x:v>
      </x:c>
      <x:c r="K9" s="23" t="str">
        <x:v>Passed</x:v>
      </x:c>
      <x:c r="L9" s="23" t="str">
        <x:v>No</x:v>
      </x:c>
      <x:c r="M9" s="23" t="str">
        <x:v>Supplied phase-00-propagation-test returned unchanged</x:v>
      </x:c>
    </x:row>
    <x:row r="10" ht="60" hidden="0" customHeight="1">
      <x:c r="A10" s="23" t="str">
        <x:v>TC-P00-007</x:v>
      </x:c>
      <x:c r="B10" s="23" t="str">
        <x:v>P00</x:v>
      </x:c>
      <x:c r="C10" s="23" t="str">
        <x:v>CORS preflight</x:v>
      </x:c>
      <x:c r="D10" s="23" t="str">
        <x:v>Security</x:v>
      </x:c>
      <x:c r="E10" s="23" t="str">
        <x:v>Frontend origin configured</x:v>
      </x:c>
      <x:c r="F10" s="23" t="str">
        <x:v>OPTIONS system status from 127.0.0.1:5175</x:v>
      </x:c>
      <x:c r="G10" s="23" t="str">
        <x:v>Allowed origin and methods returned</x:v>
      </x:c>
      <x:c r="H10" s="23" t="str">
        <x:v>Manual</x:v>
      </x:c>
      <x:c r="I10" s="23" t="str">
        <x:v>curl.exe OPTIONS /api/v1/system/status</x:v>
      </x:c>
      <x:c r="J10" s="23" t="str">
        <x:v>High</x:v>
      </x:c>
      <x:c r="K10" s="23" t="str">
        <x:v>Passed</x:v>
      </x:c>
      <x:c r="L10" s="23" t="str">
        <x:v>Yes</x:v>
      </x:c>
      <x:c r="M10" s="23" t="str">
        <x:v>Local run 2026-08-25</x:v>
      </x:c>
    </x:row>
    <x:row r="11" ht="36" hidden="0" customHeight="1">
      <x:c r="A11" s="23" t="str">
        <x:v>TC-P00-008</x:v>
      </x:c>
      <x:c r="B11" s="23" t="str">
        <x:v>P00</x:v>
      </x:c>
      <x:c r="C11" s="23" t="str">
        <x:v>PostgreSQL health</x:v>
      </x:c>
      <x:c r="D11" s="23" t="str">
        <x:v>Infrastructure</x:v>
      </x:c>
      <x:c r="E11" s="23" t="str">
        <x:v>Docker engine running</x:v>
      </x:c>
      <x:c r="F11" s="23" t="str">
        <x:v>docker compose ps</x:v>
      </x:c>
      <x:c r="G11" s="23" t="str">
        <x:v>app and db report healthy</x:v>
      </x:c>
      <x:c r="H11" s="23" t="str">
        <x:v>Manual</x:v>
      </x:c>
      <x:c r="I11" s="23" t="str">
        <x:v>docker compose ps</x:v>
      </x:c>
      <x:c r="J11" s="23" t="str">
        <x:v>Critical</x:v>
      </x:c>
      <x:c r="K11" s="23" t="str">
        <x:v>Passed</x:v>
      </x:c>
      <x:c r="L11" s="23" t="str">
        <x:v>Yes</x:v>
      </x:c>
      <x:c r="M11" s="23" t="str">
        <x:v>Local run 2026-08-25</x:v>
      </x:c>
    </x:row>
    <x:row r="12" ht="48" hidden="0" customHeight="1">
      <x:c r="A12" s="23" t="str">
        <x:v>TC-P00-009</x:v>
      </x:c>
      <x:c r="B12" s="23" t="str">
        <x:v>P00</x:v>
      </x:c>
      <x:c r="C12" s="23" t="str">
        <x:v>Migration applied</x:v>
      </x:c>
      <x:c r="D12" s="23" t="str">
        <x:v>Database</x:v>
      </x:c>
      <x:c r="E12" s="23" t="str">
        <x:v>Database initialized</x:v>
      </x:c>
      <x:c r="F12" s="23" t="str">
        <x:v>Query alembic_version</x:v>
      </x:c>
      <x:c r="G12" s="23" t="str">
        <x:v>Revision equals 20260819_0001</x:v>
      </x:c>
      <x:c r="H12" s="23" t="str">
        <x:v>Automated</x:v>
      </x:c>
      <x:c r="I12" s="23" t="str">
        <x:v>alembic upgrade head</x:v>
      </x:c>
      <x:c r="J12" s="23" t="str">
        <x:v>Critical</x:v>
      </x:c>
      <x:c r="K12" s="23" t="str">
        <x:v>Passed</x:v>
      </x:c>
      <x:c r="L12" s="23" t="str">
        <x:v>Yes</x:v>
      </x:c>
      <x:c r="M12" s="23" t="str">
        <x:v>Local run 2026-08-25</x:v>
      </x:c>
    </x:row>
    <x:row r="13" ht="72" hidden="0" customHeight="1">
      <x:c r="A13" s="23" t="str">
        <x:v>TC-P00-010</x:v>
      </x:c>
      <x:c r="B13" s="23" t="str">
        <x:v>P00</x:v>
      </x:c>
      <x:c r="C13" s="23" t="str">
        <x:v>Migration rollback/replay</x:v>
      </x:c>
      <x:c r="D13" s="23" t="str">
        <x:v>Database</x:v>
      </x:c>
      <x:c r="E13" s="23" t="str">
        <x:v>Foundation-only dev data</x:v>
      </x:c>
      <x:c r="F13" s="23" t="str">
        <x:v>downgrade base then upgrade head</x:v>
      </x:c>
      <x:c r="G13" s="23" t="str">
        <x:v>Both operations succeed transactionally</x:v>
      </x:c>
      <x:c r="H13" s="23" t="str">
        <x:v>Automated</x:v>
      </x:c>
      <x:c r="I13" s="23" t="str">
        <x:v>alembic downgrade base; alembic upgrade head</x:v>
      </x:c>
      <x:c r="J13" s="23" t="str">
        <x:v>Critical</x:v>
      </x:c>
      <x:c r="K13" s="23" t="str">
        <x:v>Passed</x:v>
      </x:c>
      <x:c r="L13" s="23" t="str">
        <x:v>Yes</x:v>
      </x:c>
      <x:c r="M13" s="23" t="str">
        <x:v>Local run 2026-08-25</x:v>
      </x:c>
    </x:row>
    <x:row r="14" ht="60" hidden="0" customHeight="1">
      <x:c r="A14" s="23" t="str">
        <x:v>TC-P00-011</x:v>
      </x:c>
      <x:c r="B14" s="23" t="str">
        <x:v>P00</x:v>
      </x:c>
      <x:c r="C14" s="23" t="str">
        <x:v>Deterministic seed</x:v>
      </x:c>
      <x:c r="D14" s="23" t="str">
        <x:v>Database</x:v>
      </x:c>
      <x:c r="E14" s="23" t="str">
        <x:v>Migration applied</x:v>
      </x:c>
      <x:c r="F14" s="23" t="str">
        <x:v>Run seed twice</x:v>
      </x:c>
      <x:c r="G14" s="23" t="str">
        <x:v>Exactly four settings with expected values</x:v>
      </x:c>
      <x:c r="H14" s="23" t="str">
        <x:v>Automated</x:v>
      </x:c>
      <x:c r="I14" s="23" t="str">
        <x:v>pytest tests/test_seed.py</x:v>
      </x:c>
      <x:c r="J14" s="23" t="str">
        <x:v>Critical</x:v>
      </x:c>
      <x:c r="K14" s="23" t="str">
        <x:v>Passed</x:v>
      </x:c>
      <x:c r="L14" s="23" t="str">
        <x:v>Yes</x:v>
      </x:c>
      <x:c r="M14" s="23" t="str">
        <x:v>Local run 2026-08-25</x:v>
      </x:c>
    </x:row>
    <x:row r="15" ht="48" hidden="0" customHeight="1">
      <x:c r="A15" s="23" t="str">
        <x:v>TC-P00-012</x:v>
      </x:c>
      <x:c r="B15" s="23" t="str">
        <x:v>P00</x:v>
      </x:c>
      <x:c r="C15" s="23" t="str">
        <x:v>Database timezone</x:v>
      </x:c>
      <x:c r="D15" s="23" t="str">
        <x:v>Database</x:v>
      </x:c>
      <x:c r="E15" s="23" t="str">
        <x:v>Database connected</x:v>
      </x:c>
      <x:c r="F15" s="23" t="str">
        <x:v>SHOW TIME ZONE</x:v>
      </x:c>
      <x:c r="G15" s="23" t="str">
        <x:v>Asia/Manila</x:v>
      </x:c>
      <x:c r="H15" s="23" t="str">
        <x:v>Automated</x:v>
      </x:c>
      <x:c r="I15" s="23" t="str">
        <x:v>system status test plus SQL query</x:v>
      </x:c>
      <x:c r="J15" s="23" t="str">
        <x:v>High</x:v>
      </x:c>
      <x:c r="K15" s="23" t="str">
        <x:v>Passed</x:v>
      </x:c>
      <x:c r="L15" s="23" t="str">
        <x:v>Yes</x:v>
      </x:c>
      <x:c r="M15" s="23" t="str">
        <x:v>Local run 2026-08-25</x:v>
      </x:c>
    </x:row>
    <x:row r="16" ht="48" hidden="0" customHeight="1">
      <x:c r="A16" s="23" t="str">
        <x:v>TC-P00-013</x:v>
      </x:c>
      <x:c r="B16" s="23" t="str">
        <x:v>P00</x:v>
      </x:c>
      <x:c r="C16" s="23" t="str">
        <x:v>Backend lint</x:v>
      </x:c>
      <x:c r="D16" s="23" t="str">
        <x:v>Static</x:v>
      </x:c>
      <x:c r="E16" s="23" t="str">
        <x:v>Dev dependencies installed</x:v>
      </x:c>
      <x:c r="F16" s="23" t="str">
        <x:v>Run Ruff</x:v>
      </x:c>
      <x:c r="G16" s="23" t="str">
        <x:v>No lint violations</x:v>
      </x:c>
      <x:c r="H16" s="23" t="str">
        <x:v>Automated</x:v>
      </x:c>
      <x:c r="I16" s="23" t="str">
        <x:v>ruff check api migrations tests</x:v>
      </x:c>
      <x:c r="J16" s="23" t="str">
        <x:v>High</x:v>
      </x:c>
      <x:c r="K16" s="23" t="str">
        <x:v>Passed</x:v>
      </x:c>
      <x:c r="L16" s="23" t="str">
        <x:v>Yes</x:v>
      </x:c>
      <x:c r="M16" s="23" t="str">
        <x:v>Local run 2026-08-25</x:v>
      </x:c>
    </x:row>
    <x:row r="17" ht="48" hidden="0" customHeight="1">
      <x:c r="A17" s="23" t="str">
        <x:v>TC-P00-014</x:v>
      </x:c>
      <x:c r="B17" s="23" t="str">
        <x:v>P00</x:v>
      </x:c>
      <x:c r="C17" s="23" t="str">
        <x:v>Backend suite</x:v>
      </x:c>
      <x:c r="D17" s="23" t="str">
        <x:v>Automated</x:v>
      </x:c>
      <x:c r="E17" s="23" t="str">
        <x:v>PostgreSQL available</x:v>
      </x:c>
      <x:c r="F17" s="23" t="str">
        <x:v>Run pytest with coverage</x:v>
      </x:c>
      <x:c r="G17" s="23" t="str">
        <x:v>6 tests pass; coverage reported</x:v>
      </x:c>
      <x:c r="H17" s="23" t="str">
        <x:v>Automated</x:v>
      </x:c>
      <x:c r="I17" s="23" t="str">
        <x:v>pytest --cov=payment_module</x:v>
      </x:c>
      <x:c r="J17" s="23" t="str">
        <x:v>Critical</x:v>
      </x:c>
      <x:c r="K17" s="23" t="str">
        <x:v>Passed</x:v>
      </x:c>
      <x:c r="L17" s="23" t="str">
        <x:v>Yes</x:v>
      </x:c>
      <x:c r="M17" s="23" t="str">
        <x:v>6 passed; 89% coverage</x:v>
      </x:c>
    </x:row>
    <x:row r="18" ht="48" hidden="0" customHeight="1">
      <x:c r="A18" s="23" t="str">
        <x:v>TC-P00-015</x:v>
      </x:c>
      <x:c r="B18" s="23" t="str">
        <x:v>P00</x:v>
      </x:c>
      <x:c r="C18" s="23" t="str">
        <x:v>Frontend production build</x:v>
      </x:c>
      <x:c r="D18" s="23" t="str">
        <x:v>Build</x:v>
      </x:c>
      <x:c r="E18" s="23" t="str">
        <x:v>Node dependencies installed</x:v>
      </x:c>
      <x:c r="F18" s="23" t="str">
        <x:v>Run pnpm build</x:v>
      </x:c>
      <x:c r="G18" s="23" t="str">
        <x:v>TypeScript and Vite build succeed</x:v>
      </x:c>
      <x:c r="H18" s="23" t="str">
        <x:v>Automated</x:v>
      </x:c>
      <x:c r="I18" s="23" t="str">
        <x:v>pnpm build</x:v>
      </x:c>
      <x:c r="J18" s="23" t="str">
        <x:v>Critical</x:v>
      </x:c>
      <x:c r="K18" s="23" t="str">
        <x:v>Passed</x:v>
      </x:c>
      <x:c r="L18" s="23" t="str">
        <x:v>Yes</x:v>
      </x:c>
      <x:c r="M18" s="23" t="str">
        <x:v>Vite 7.0.7 build passed</x:v>
      </x:c>
    </x:row>
    <x:row r="19" ht="60" hidden="0" customHeight="1">
      <x:c r="A19" s="23" t="str">
        <x:v>TC-P00-016</x:v>
      </x:c>
      <x:c r="B19" s="23" t="str">
        <x:v>P00</x:v>
      </x:c>
      <x:c r="C19" s="23" t="str">
        <x:v>Hybrid API indicator</x:v>
      </x:c>
      <x:c r="D19" s="23" t="str">
        <x:v>UI</x:v>
      </x:c>
      <x:c r="E19" s="23" t="str">
        <x:v>Frontend and API running</x:v>
      </x:c>
      <x:c r="F19" s="23" t="str">
        <x:v>Open dashboard</x:v>
      </x:c>
      <x:c r="G19" s="23" t="str">
        <x:v>Dashboard renders and shows API connected</x:v>
      </x:c>
      <x:c r="H19" s="23" t="str">
        <x:v>Manual</x:v>
      </x:c>
      <x:c r="I19" s="23" t="str">
        <x:v>http://127.0.0.1:5175/#/dashboard</x:v>
      </x:c>
      <x:c r="J19" s="23" t="str">
        <x:v>Critical</x:v>
      </x:c>
      <x:c r="K19" s="23" t="str">
        <x:v>Passed</x:v>
      </x:c>
      <x:c r="L19" s="23" t="str">
        <x:v>Yes</x:v>
      </x:c>
      <x:c r="M19" s="23" t="str">
        <x:v>Browser verified; no console errors</x:v>
      </x:c>
    </x:row>
    <x:row r="20" ht="84" hidden="0" customHeight="1">
      <x:c r="A20" s="23" t="str">
        <x:v>TC-P00-017</x:v>
      </x:c>
      <x:c r="B20" s="23" t="str">
        <x:v>P00</x:v>
      </x:c>
      <x:c r="C20" s="23" t="str">
        <x:v>Mock fallback</x:v>
      </x:c>
      <x:c r="D20" s="23" t="str">
        <x:v>Resilience</x:v>
      </x:c>
      <x:c r="E20" s="23" t="str">
        <x:v>Frontend running</x:v>
      </x:c>
      <x:c r="F20" s="23" t="str">
        <x:v>Stop API and reload hybrid frontend</x:v>
      </x:c>
      <x:c r="G20" s="23" t="str">
        <x:v>Prototype remains usable with API unavailable indicator</x:v>
      </x:c>
      <x:c r="H20" s="23" t="str">
        <x:v>Manual</x:v>
      </x:c>
      <x:c r="I20" s="23" t="str">
        <x:v>docker compose stop app; reload</x:v>
      </x:c>
      <x:c r="J20" s="23" t="str">
        <x:v>High</x:v>
      </x:c>
      <x:c r="K20" s="23" t="str">
        <x:v>Passed</x:v>
      </x:c>
      <x:c r="L20" s="23" t="str">
        <x:v>Yes</x:v>
      </x:c>
      <x:c r="M20" s="23" t="str">
        <x:v>Dashboard remained usable and showed Hybrid · mock fallback</x:v>
      </x:c>
    </x:row>
    <x:row r="21" ht="48" hidden="0" customHeight="1">
      <x:c r="A21" s="23" t="str">
        <x:v>TC-P00-018</x:v>
      </x:c>
      <x:c r="B21" s="23" t="str">
        <x:v>P00</x:v>
      </x:c>
      <x:c r="C21" s="23" t="str">
        <x:v>Docker image build</x:v>
      </x:c>
      <x:c r="D21" s="23" t="str">
        <x:v>Delivery</x:v>
      </x:c>
      <x:c r="E21" s="23" t="str">
        <x:v>Docker engine running</x:v>
      </x:c>
      <x:c r="F21" s="23" t="str">
        <x:v>Build API image</x:v>
      </x:c>
      <x:c r="G21" s="23" t="str">
        <x:v>payment-module-app image produced</x:v>
      </x:c>
      <x:c r="H21" s="23" t="str">
        <x:v>Automated</x:v>
      </x:c>
      <x:c r="I21" s="23" t="str">
        <x:v>docker compose build</x:v>
      </x:c>
      <x:c r="J21" s="23" t="str">
        <x:v>Critical</x:v>
      </x:c>
      <x:c r="K21" s="23" t="str">
        <x:v>Passed</x:v>
      </x:c>
      <x:c r="L21" s="23" t="str">
        <x:v>Yes</x:v>
      </x:c>
      <x:c r="M21" s="23" t="str">
        <x:v>Local and CI packaging passed</x:v>
      </x:c>
    </x:row>
    <x:row r="22" ht="48" hidden="0" customHeight="1">
      <x:c r="A22" s="23" t="str">
        <x:v>TC-P00-019</x:v>
      </x:c>
      <x:c r="B22" s="23" t="str">
        <x:v>P00</x:v>
      </x:c>
      <x:c r="C22" s="23" t="str">
        <x:v>OpenAPI availability</x:v>
      </x:c>
      <x:c r="D22" s="23" t="str">
        <x:v>API</x:v>
      </x:c>
      <x:c r="E22" s="23" t="str">
        <x:v>API running</x:v>
      </x:c>
      <x:c r="F22" s="23" t="str">
        <x:v>GET /docs and /openapi.json</x:v>
      </x:c>
      <x:c r="G22" s="23" t="str">
        <x:v>Swagger UI and schema available</x:v>
      </x:c>
      <x:c r="H22" s="23" t="str">
        <x:v>Manual</x:v>
      </x:c>
      <x:c r="I22" s="23" t="str">
        <x:v>http://127.0.0.1:8002/docs</x:v>
      </x:c>
      <x:c r="J22" s="23" t="str">
        <x:v>Medium</x:v>
      </x:c>
      <x:c r="K22" s="23" t="str">
        <x:v>Passed</x:v>
      </x:c>
      <x:c r="L22" s="23" t="str">
        <x:v>No</x:v>
      </x:c>
      <x:c r="M22" s="23" t="str">
        <x:v>API docs route published</x:v>
      </x:c>
    </x:row>
    <x:row r="23" ht="96" hidden="0" customHeight="1">
      <x:c r="A23" s="24" t="str">
        <x:v>TC-P00-020</x:v>
      </x:c>
      <x:c r="B23" s="24" t="str">
        <x:v>P00</x:v>
      </x:c>
      <x:c r="C23" s="24" t="str">
        <x:v>Structured request logging</x:v>
      </x:c>
      <x:c r="D23" s="24" t="str">
        <x:v>Operations</x:v>
      </x:c>
      <x:c r="E23" s="24" t="str">
        <x:v>API running</x:v>
      </x:c>
      <x:c r="F23" s="24" t="str">
        <x:v>Send request and inspect container log</x:v>
      </x:c>
      <x:c r="G23" s="24" t="str">
        <x:v>Method, path, status, duration and request ID recorded</x:v>
      </x:c>
      <x:c r="H23" s="24" t="str">
        <x:v>Manual</x:v>
      </x:c>
      <x:c r="I23" s="24" t="str">
        <x:v>docker compose logs app</x:v>
      </x:c>
      <x:c r="J23" s="24" t="str">
        <x:v>High</x:v>
      </x:c>
      <x:c r="K23" s="24" t="str">
        <x:v>Passed</x:v>
      </x:c>
      <x:c r="L23" s="24" t="str">
        <x:v>Yes</x:v>
      </x:c>
      <x:c r="M23" s="24" t="str">
        <x:v>Log contained method, path, status, duration_ms and request_id</x:v>
      </x:c>
    </x:row>
    <x:row r="24" ht="54" customHeight="1">
      <x:c r="A24" s="41" t="str">
        <x:v>TC-P01-001</x:v>
      </x:c>
      <x:c r="B24" s="41" t="str">
        <x:v>P01</x:v>
      </x:c>
      <x:c r="C24" s="41" t="str">
        <x:v>Password hashing</x:v>
      </x:c>
      <x:c r="D24" s="41" t="str">
        <x:v>Security</x:v>
      </x:c>
      <x:c r="E24" s="41" t="str">
        <x:v>Test password available</x:v>
      </x:c>
      <x:c r="F24" s="41" t="str">
        <x:v>Hash identical password twice; verify correct and incorrect passwords</x:v>
      </x:c>
      <x:c r="G24" s="41" t="str">
        <x:v>Hashes differ; correct password verifies; incorrect password fails</x:v>
      </x:c>
      <x:c r="H24" s="41" t="str">
        <x:v>Automated</x:v>
      </x:c>
      <x:c r="I24" s="41" t="str">
        <x:v>pytest tests/test_identity.py::test_password_hash_is_salted_and_verifiable</x:v>
      </x:c>
      <x:c r="J24" s="41" t="str">
        <x:v>Critical</x:v>
      </x:c>
      <x:c r="K24" s="41" t="str">
        <x:v>Passed</x:v>
      </x:c>
      <x:c r="L24" s="41" t="str">
        <x:v>Yes</x:v>
      </x:c>
      <x:c r="M24" s="41" t="str">
        <x:v>Local run 2026-08-26</x:v>
      </x:c>
    </x:row>
    <x:row r="25" ht="54" customHeight="1">
      <x:c r="A25" s="41" t="str">
        <x:v>TC-P01-002</x:v>
      </x:c>
      <x:c r="B25" s="41" t="str">
        <x:v>P01</x:v>
      </x:c>
      <x:c r="C25" s="41" t="str">
        <x:v>Identity seed</x:v>
      </x:c>
      <x:c r="D25" s="41" t="str">
        <x:v>Database</x:v>
      </x:c>
      <x:c r="E25" s="41" t="str">
        <x:v>Migration head applied</x:v>
      </x:c>
      <x:c r="F25" s="41" t="str">
        <x:v>Run identity seed twice</x:v>
      </x:c>
      <x:c r="G25" s="41" t="str">
        <x:v>Reference identities remain deterministic with nine users and eight permissions</x:v>
      </x:c>
      <x:c r="H25" s="41" t="str">
        <x:v>Automated</x:v>
      </x:c>
      <x:c r="I25" s="41" t="str">
        <x:v>pytest tests/test_identity.py::test_phase_01_seed_is_deterministic</x:v>
      </x:c>
      <x:c r="J25" s="41" t="str">
        <x:v>Critical</x:v>
      </x:c>
      <x:c r="K25" s="41" t="str">
        <x:v>Passed</x:v>
      </x:c>
      <x:c r="L25" s="41" t="str">
        <x:v>Yes</x:v>
      </x:c>
      <x:c r="M25" s="41" t="str">
        <x:v>Local run 2026-08-26</x:v>
      </x:c>
    </x:row>
    <x:row r="26" ht="54" customHeight="1">
      <x:c r="A26" s="41" t="str">
        <x:v>TC-P01-003</x:v>
      </x:c>
      <x:c r="B26" s="41" t="str">
        <x:v>P01</x:v>
      </x:c>
      <x:c r="C26" s="41" t="str">
        <x:v>Login, session and logout</x:v>
      </x:c>
      <x:c r="D26" s="41" t="str">
        <x:v>API</x:v>
      </x:c>
      <x:c r="E26" s="41" t="str">
        <x:v>Seeded administrator</x:v>
      </x:c>
      <x:c r="F26" s="41" t="str">
        <x:v>Login; read session; logout; read session again</x:v>
      </x:c>
      <x:c r="G26" s="41" t="str">
        <x:v>Login and session return 200; logout revokes session; later read returns 401</x:v>
      </x:c>
      <x:c r="H26" s="41" t="str">
        <x:v>Automated</x:v>
      </x:c>
      <x:c r="I26" s="41" t="str">
        <x:v>pytest tests/test_identity.py::test_login_session_logout_and_revocation</x:v>
      </x:c>
      <x:c r="J26" s="41" t="str">
        <x:v>Critical</x:v>
      </x:c>
      <x:c r="K26" s="41" t="str">
        <x:v>Passed</x:v>
      </x:c>
      <x:c r="L26" s="41" t="str">
        <x:v>Yes</x:v>
      </x:c>
      <x:c r="M26" s="41" t="str">
        <x:v>Local run 2026-08-26</x:v>
      </x:c>
    </x:row>
    <x:row r="27" ht="54" customHeight="1">
      <x:c r="A27" s="41" t="str">
        <x:v>TC-P01-004</x:v>
      </x:c>
      <x:c r="B27" s="41" t="str">
        <x:v>P01</x:v>
      </x:c>
      <x:c r="C27" s="41" t="str">
        <x:v>Invalid authentication</x:v>
      </x:c>
      <x:c r="D27" s="41" t="str">
        <x:v>Negative</x:v>
      </x:c>
      <x:c r="E27" s="41" t="str">
        <x:v>Seeded identities</x:v>
      </x:c>
      <x:c r="F27" s="41" t="str">
        <x:v>Use invalid password and call protected endpoint without session</x:v>
      </x:c>
      <x:c r="G27" s="41" t="str">
        <x:v>Invalid login and unauthenticated protected request return 401</x:v>
      </x:c>
      <x:c r="H27" s="41" t="str">
        <x:v>Automated</x:v>
      </x:c>
      <x:c r="I27" s="41" t="str">
        <x:v>pytest tests/test_identity.py::test_invalid_login_and_unauthenticated_request_are_rejected</x:v>
      </x:c>
      <x:c r="J27" s="41" t="str">
        <x:v>Critical</x:v>
      </x:c>
      <x:c r="K27" s="41" t="str">
        <x:v>Passed</x:v>
      </x:c>
      <x:c r="L27" s="41" t="str">
        <x:v>Yes</x:v>
      </x:c>
      <x:c r="M27" s="41" t="str">
        <x:v>Local run 2026-08-26</x:v>
      </x:c>
    </x:row>
    <x:row r="28" ht="54" customHeight="1">
      <x:c r="A28" s="41" t="str">
        <x:v>TC-P01-005</x:v>
      </x:c>
      <x:c r="B28" s="41" t="str">
        <x:v>P01</x:v>
      </x:c>
      <x:c r="C28" s="41" t="str">
        <x:v>Role permission boundary</x:v>
      </x:c>
      <x:c r="D28" s="41" t="str">
        <x:v>Authorization</x:v>
      </x:c>
      <x:c r="E28" s="41" t="str">
        <x:v>Requestor identity</x:v>
      </x:c>
      <x:c r="F28" s="41" t="str">
        <x:v>Read departments then attempt user administration</x:v>
      </x:c>
      <x:c r="G28" s="41" t="str">
        <x:v>Granted read succeeds; unauthorized user list returns 403</x:v>
      </x:c>
      <x:c r="H28" s="41" t="str">
        <x:v>Automated</x:v>
      </x:c>
      <x:c r="I28" s="41" t="str">
        <x:v>pytest tests/test_identity.py::test_role_permissions_and_explicit_deny_take_precedence</x:v>
      </x:c>
      <x:c r="J28" s="41" t="str">
        <x:v>Critical</x:v>
      </x:c>
      <x:c r="K28" s="41" t="str">
        <x:v>Passed</x:v>
      </x:c>
      <x:c r="L28" s="41" t="str">
        <x:v>Yes</x:v>
      </x:c>
      <x:c r="M28" s="41" t="str">
        <x:v>Local run 2026-08-26</x:v>
      </x:c>
    </x:row>
    <x:row r="29" ht="54" customHeight="1">
      <x:c r="A29" s="41" t="str">
        <x:v>TC-P01-006</x:v>
      </x:c>
      <x:c r="B29" s="41" t="str">
        <x:v>P01</x:v>
      </x:c>
      <x:c r="C29" s="41" t="str">
        <x:v>Audited department creation</x:v>
      </x:c>
      <x:c r="D29" s="41" t="str">
        <x:v>Audit</x:v>
      </x:c>
      <x:c r="E29" s="41" t="str">
        <x:v>Administrator session</x:v>
      </x:c>
      <x:c r="F29" s="41" t="str">
        <x:v>Create department and inspect audit event</x:v>
      </x:c>
      <x:c r="G29" s="41" t="str">
        <x:v>Department persists and creation event identifies the entity</x:v>
      </x:c>
      <x:c r="H29" s="41" t="str">
        <x:v>Automated</x:v>
      </x:c>
      <x:c r="I29" s="41" t="str">
        <x:v>pytest tests/test_identity.py::test_admin_can_add_department_and_change_is_audited</x:v>
      </x:c>
      <x:c r="J29" s="41" t="str">
        <x:v>High</x:v>
      </x:c>
      <x:c r="K29" s="41" t="str">
        <x:v>Passed</x:v>
      </x:c>
      <x:c r="L29" s="41" t="str">
        <x:v>Yes</x:v>
      </x:c>
      <x:c r="M29" s="41" t="str">
        <x:v>Local run 2026-08-26</x:v>
      </x:c>
    </x:row>
    <x:row r="30" ht="54" customHeight="1">
      <x:c r="A30" s="41" t="str">
        <x:v>TC-P01-007</x:v>
      </x:c>
      <x:c r="B30" s="41" t="str">
        <x:v>P01</x:v>
      </x:c>
      <x:c r="C30" s="41" t="str">
        <x:v>Idle and suspended account rejection</x:v>
      </x:c>
      <x:c r="D30" s="41" t="str">
        <x:v>Security</x:v>
      </x:c>
      <x:c r="E30" s="41" t="str">
        <x:v>Finance Associate identity</x:v>
      </x:c>
      <x:c r="F30" s="41" t="str">
        <x:v>Age session past 60 minutes; suspend account; retry</x:v>
      </x:c>
      <x:c r="G30" s="41" t="str">
        <x:v>Idle session and suspended account are rejected</x:v>
      </x:c>
      <x:c r="H30" s="41" t="str">
        <x:v>Automated</x:v>
      </x:c>
      <x:c r="I30" s="41" t="str">
        <x:v>pytest tests/test_identity.py::test_idle_session_and_suspended_user_are_rejected</x:v>
      </x:c>
      <x:c r="J30" s="41" t="str">
        <x:v>Critical</x:v>
      </x:c>
      <x:c r="K30" s="41" t="str">
        <x:v>Passed</x:v>
      </x:c>
      <x:c r="L30" s="41" t="str">
        <x:v>Yes</x:v>
      </x:c>
      <x:c r="M30" s="41" t="str">
        <x:v>Local run 2026-08-26</x:v>
      </x:c>
    </x:row>
    <x:row r="31" ht="54" customHeight="1">
      <x:c r="A31" s="41" t="str">
        <x:v>TC-P01-008</x:v>
      </x:c>
      <x:c r="B31" s="41" t="str">
        <x:v>P01</x:v>
      </x:c>
      <x:c r="C31" s="41" t="str">
        <x:v>Role assignment audit</x:v>
      </x:c>
      <x:c r="D31" s="41" t="str">
        <x:v>Authorization</x:v>
      </x:c>
      <x:c r="E31" s="41" t="str">
        <x:v>Administrator session</x:v>
      </x:c>
      <x:c r="F31" s="41" t="str">
        <x:v>Replace requestor roles and inspect event</x:v>
      </x:c>
      <x:c r="G31" s="41" t="str">
        <x:v>Role set is replaced and user.roles_changed is audited</x:v>
      </x:c>
      <x:c r="H31" s="41" t="str">
        <x:v>Automated</x:v>
      </x:c>
      <x:c r="I31" s="41" t="str">
        <x:v>pytest tests/test_identity.py::test_admin_can_replace_roles_and_change_is_audited</x:v>
      </x:c>
      <x:c r="J31" s="41" t="str">
        <x:v>High</x:v>
      </x:c>
      <x:c r="K31" s="41" t="str">
        <x:v>Passed</x:v>
      </x:c>
      <x:c r="L31" s="41" t="str">
        <x:v>Yes</x:v>
      </x:c>
      <x:c r="M31" s="41" t="str">
        <x:v>Local run 2026-08-26</x:v>
      </x:c>
    </x:row>
    <x:row r="32" ht="54" customHeight="1">
      <x:c r="A32" s="41" t="str">
        <x:v>TC-P01-009</x:v>
      </x:c>
      <x:c r="B32" s="41" t="str">
        <x:v>P01</x:v>
      </x:c>
      <x:c r="C32" s="41" t="str">
        <x:v>Explicit permission deny</x:v>
      </x:c>
      <x:c r="D32" s="41" t="str">
        <x:v>Authorization</x:v>
      </x:c>
      <x:c r="E32" s="41" t="str">
        <x:v>Requestor with department read grant</x:v>
      </x:c>
      <x:c r="F32" s="41" t="str">
        <x:v>Apply deny override; re-login; read departments</x:v>
      </x:c>
      <x:c r="G32" s="41" t="str">
        <x:v>Explicit deny overrides role permission and returns 403</x:v>
      </x:c>
      <x:c r="H32" s="41" t="str">
        <x:v>Automated</x:v>
      </x:c>
      <x:c r="I32" s="41" t="str">
        <x:v>pytest tests/test_identity.py::test_explicit_permission_deny_overrides_role_grant</x:v>
      </x:c>
      <x:c r="J32" s="41" t="str">
        <x:v>Critical</x:v>
      </x:c>
      <x:c r="K32" s="41" t="str">
        <x:v>Passed</x:v>
      </x:c>
      <x:c r="L32" s="41" t="str">
        <x:v>Yes</x:v>
      </x:c>
      <x:c r="M32" s="41" t="str">
        <x:v>Local run 2026-08-26</x:v>
      </x:c>
    </x:row>
    <x:row r="33" ht="54" customHeight="1">
      <x:c r="A33" s="41" t="str">
        <x:v>TC-P01-010</x:v>
      </x:c>
      <x:c r="B33" s="41" t="str">
        <x:v>P01</x:v>
      </x:c>
      <x:c r="C33" s="41" t="str">
        <x:v>CSRF protection</x:v>
      </x:c>
      <x:c r="D33" s="41" t="str">
        <x:v>Security</x:v>
      </x:c>
      <x:c r="E33" s="41" t="str">
        <x:v>Authenticated administrator</x:v>
      </x:c>
      <x:c r="F33" s="41" t="str">
        <x:v>POST department without CSRF token</x:v>
      </x:c>
      <x:c r="G33" s="41" t="str">
        <x:v>Authenticated mutation is rejected with 403</x:v>
      </x:c>
      <x:c r="H33" s="41" t="str">
        <x:v>Automated</x:v>
      </x:c>
      <x:c r="I33" s="41" t="str">
        <x:v>pytest tests/test_identity.py::test_csrf_is_required_for_authenticated_mutations</x:v>
      </x:c>
      <x:c r="J33" s="41" t="str">
        <x:v>Critical</x:v>
      </x:c>
      <x:c r="K33" s="41" t="str">
        <x:v>Passed</x:v>
      </x:c>
      <x:c r="L33" s="41" t="str">
        <x:v>Yes</x:v>
      </x:c>
      <x:c r="M33" s="41" t="str">
        <x:v>Local run 2026-08-26</x:v>
      </x:c>
    </x:row>
    <x:row r="34" ht="54" customHeight="1">
      <x:c r="A34" s="41" t="str">
        <x:v>TC-P01-011</x:v>
      </x:c>
      <x:c r="B34" s="41" t="str">
        <x:v>P01</x:v>
      </x:c>
      <x:c r="C34" s="41" t="str">
        <x:v>User suspension revokes sessions</x:v>
      </x:c>
      <x:c r="D34" s="41" t="str">
        <x:v>Security</x:v>
      </x:c>
      <x:c r="E34" s="41" t="str">
        <x:v>Administrator and temporary user</x:v>
      </x:c>
      <x:c r="F34" s="41" t="str">
        <x:v>Create user; login; suspend; retry login</x:v>
      </x:c>
      <x:c r="G34" s="41" t="str">
        <x:v>User creation succeeds; suspension revokes sessions and rejects login</x:v>
      </x:c>
      <x:c r="H34" s="41" t="str">
        <x:v>Automated</x:v>
      </x:c>
      <x:c r="I34" s="41" t="str">
        <x:v>pytest tests/test_identity.py::test_admin_can_create_and_suspend_user_with_session_revocation</x:v>
      </x:c>
      <x:c r="J34" s="41" t="str">
        <x:v>Critical</x:v>
      </x:c>
      <x:c r="K34" s="41" t="str">
        <x:v>Passed</x:v>
      </x:c>
      <x:c r="L34" s="41" t="str">
        <x:v>Yes</x:v>
      </x:c>
      <x:c r="M34" s="41" t="str">
        <x:v>Local run 2026-08-26</x:v>
      </x:c>
    </x:row>
    <x:row r="35" ht="54" customHeight="1">
      <x:c r="A35" s="41" t="str">
        <x:v>TC-P01-012</x:v>
      </x:c>
      <x:c r="B35" s="41" t="str">
        <x:v>P01</x:v>
      </x:c>
      <x:c r="C35" s="41" t="str">
        <x:v>Requestor-manager association</x:v>
      </x:c>
      <x:c r="D35" s="41" t="str">
        <x:v>Identity</x:v>
      </x:c>
      <x:c r="E35" s="41" t="str">
        <x:v>Manager and requestor users</x:v>
      </x:c>
      <x:c r="F35" s="41" t="str">
        <x:v>Assign manager; attempt self-assignment and a cycle</x:v>
      </x:c>
      <x:c r="G35" s="41" t="str">
        <x:v>Valid association persists; self and cyclic relationships return 422</x:v>
      </x:c>
      <x:c r="H35" s="41" t="str">
        <x:v>Automated</x:v>
      </x:c>
      <x:c r="I35" s="41" t="str">
        <x:v>pytest tests/test_identity.py::test_admin_can_assign_requestor_manager_and_cycles_are_rejected</x:v>
      </x:c>
      <x:c r="J35" s="41" t="str">
        <x:v>Critical</x:v>
      </x:c>
      <x:c r="K35" s="41" t="str">
        <x:v>Passed</x:v>
      </x:c>
      <x:c r="L35" s="41" t="str">
        <x:v>Yes</x:v>
      </x:c>
      <x:c r="M35" s="41" t="str">
        <x:v>Local run 2026-08-26</x:v>
      </x:c>
    </x:row>
    <x:row r="36" ht="54" customHeight="1">
      <x:c r="A36" s="41" t="str">
        <x:v>TC-P01-013</x:v>
      </x:c>
      <x:c r="B36" s="41" t="str">
        <x:v>P01</x:v>
      </x:c>
      <x:c r="C36" s="41" t="str">
        <x:v>Administration CRUD safeguards</x:v>
      </x:c>
      <x:c r="D36" s="41" t="str">
        <x:v>API</x:v>
      </x:c>
      <x:c r="E36" s="41" t="str">
        <x:v>Administrator session</x:v>
      </x:c>
      <x:c r="F36" s="41" t="str">
        <x:v>Create, edit and delete users, departments, roles and permissions</x:v>
      </x:c>
      <x:c r="G36" s="41" t="str">
        <x:v>CRUD succeeds; referenced department deletion returns 409 until reassigned</x:v>
      </x:c>
      <x:c r="H36" s="41" t="str">
        <x:v>Automated</x:v>
      </x:c>
      <x:c r="I36" s="41" t="str">
        <x:v>pytest tests/test_identity.py::test_admin_crud_for_users_departments_roles_and_permissions</x:v>
      </x:c>
      <x:c r="J36" s="41" t="str">
        <x:v>Critical</x:v>
      </x:c>
      <x:c r="K36" s="41" t="str">
        <x:v>Passed</x:v>
      </x:c>
      <x:c r="L36" s="41" t="str">
        <x:v>Yes</x:v>
      </x:c>
      <x:c r="M36" s="41" t="str">
        <x:v>Local run 2026-08-26</x:v>
      </x:c>
    </x:row>
    <x:row r="37" ht="54" customHeight="1">
      <x:c r="A37" s="41" t="str">
        <x:v>TC-P01-014</x:v>
      </x:c>
      <x:c r="B37" s="41" t="str">
        <x:v>P01</x:v>
      </x:c>
      <x:c r="C37" s="41" t="str">
        <x:v>Session retention cleanup</x:v>
      </x:c>
      <x:c r="D37" s="41" t="str">
        <x:v>Maintenance</x:v>
      </x:c>
      <x:c r="E37" s="41" t="str">
        <x:v>Controlled active and invalid sessions</x:v>
      </x:c>
      <x:c r="F37" s="41" t="str">
        <x:v>Dry run then clean in batches</x:v>
      </x:c>
      <x:c r="G37" s="41" t="str">
        <x:v>Only invalid sessions older than 30 days are deleted; active/recent rows remain</x:v>
      </x:c>
      <x:c r="H37" s="41" t="str">
        <x:v>Automated</x:v>
      </x:c>
      <x:c r="I37" s="41" t="str">
        <x:v>pytest tests/test_maintenance.py::test_cleanup_deletes_only_sessions_past_retention</x:v>
      </x:c>
      <x:c r="J37" s="41" t="str">
        <x:v>Critical</x:v>
      </x:c>
      <x:c r="K37" s="41" t="str">
        <x:v>Passed</x:v>
      </x:c>
      <x:c r="L37" s="41" t="str">
        <x:v>Yes</x:v>
      </x:c>
      <x:c r="M37" s="41" t="str">
        <x:v>Local run 2026-08-26</x:v>
      </x:c>
    </x:row>
    <x:row r="38" ht="54" customHeight="1">
      <x:c r="A38" s="41" t="str">
        <x:v>TC-P01-015</x:v>
      </x:c>
      <x:c r="B38" s="41" t="str">
        <x:v>P01</x:v>
      </x:c>
      <x:c r="C38" s="41" t="str">
        <x:v>Cleanup environment refusal</x:v>
      </x:c>
      <x:c r="D38" s="41" t="str">
        <x:v>Security</x:v>
      </x:c>
      <x:c r="E38" s="41" t="str">
        <x:v>Cleanup explicitly enabled</x:v>
      </x:c>
      <x:c r="F38" s="41" t="str">
        <x:v>Invoke cleanup with staging and production environments</x:v>
      </x:c>
      <x:c r="G38" s="41" t="str">
        <x:v>Command hard-refuses both environments</x:v>
      </x:c>
      <x:c r="H38" s="41" t="str">
        <x:v>Automated</x:v>
      </x:c>
      <x:c r="I38" s="41" t="str">
        <x:v>pytest tests/test_maintenance.py::test_cleanup_is_refused_outside_local_and_test</x:v>
      </x:c>
      <x:c r="J38" s="41" t="str">
        <x:v>Critical</x:v>
      </x:c>
      <x:c r="K38" s="41" t="str">
        <x:v>Passed</x:v>
      </x:c>
      <x:c r="L38" s="41" t="str">
        <x:v>Yes</x:v>
      </x:c>
      <x:c r="M38" s="41" t="str">
        <x:v>Local production refusal verified</x:v>
      </x:c>
    </x:row>
    <x:row r="39" ht="54" customHeight="1">
      <x:c r="A39" s="41" t="str">
        <x:v>TC-P01-016</x:v>
      </x:c>
      <x:c r="B39" s="41" t="str">
        <x:v>P01</x:v>
      </x:c>
      <x:c r="C39" s="41" t="str">
        <x:v>Cleanup enablement guard</x:v>
      </x:c>
      <x:c r="D39" s="41" t="str">
        <x:v>Security</x:v>
      </x:c>
      <x:c r="E39" s="41" t="str">
        <x:v>Cleanup disabled</x:v>
      </x:c>
      <x:c r="F39" s="41" t="str">
        <x:v>Invoke cleanup without enablement flag</x:v>
      </x:c>
      <x:c r="G39" s="41" t="str">
        <x:v>Command refuses execution while disabled</x:v>
      </x:c>
      <x:c r="H39" s="41" t="str">
        <x:v>Automated</x:v>
      </x:c>
      <x:c r="I39" s="41" t="str">
        <x:v>pytest tests/test_maintenance.py::test_cleanup_must_be_explicitly_enabled</x:v>
      </x:c>
      <x:c r="J39" s="41" t="str">
        <x:v>Critical</x:v>
      </x:c>
      <x:c r="K39" s="41" t="str">
        <x:v>Passed</x:v>
      </x:c>
      <x:c r="L39" s="41" t="str">
        <x:v>Yes</x:v>
      </x:c>
      <x:c r="M39" s="41" t="str">
        <x:v>Local run 2026-08-26</x:v>
      </x:c>
    </x:row>
    <x:row r="40" ht="54" customHeight="1">
      <x:c r="A40" s="41" t="str">
        <x:v>TC-P01-017</x:v>
      </x:c>
      <x:c r="B40" s="41" t="str">
        <x:v>P01</x:v>
      </x:c>
      <x:c r="C40" s="41" t="str">
        <x:v>Test-session teardown isolation</x:v>
      </x:c>
      <x:c r="D40" s="41" t="str">
        <x:v>Database</x:v>
      </x:c>
      <x:c r="E40" s="41" t="str">
        <x:v>Development database session count recorded</x:v>
      </x:c>
      <x:c r="F40" s="41" t="str">
        <x:v>Run login test; recount auth_sessions</x:v>
      </x:c>
      <x:c r="G40" s="41" t="str">
        <x:v>Test-created sessions are removed and total count does not increase</x:v>
      </x:c>
      <x:c r="H40" s="41" t="str">
        <x:v>Automated</x:v>
      </x:c>
      <x:c r="I40" s="41" t="str">
        <x:v>pytest login test; compare auth_sessions count</x:v>
      </x:c>
      <x:c r="J40" s="41" t="str">
        <x:v>High</x:v>
      </x:c>
      <x:c r="K40" s="41" t="str">
        <x:v>Passed</x:v>
      </x:c>
      <x:c r="L40" s="41" t="str">
        <x:v>Yes</x:v>
      </x:c>
      <x:c r="M40" s="41" t="str">
        <x:v>Count remained 90 after repeated login test</x:v>
      </x:c>
    </x:row>
    <x:row r="41" ht="54" customHeight="1">
      <x:c r="A41" s="41" t="str">
        <x:v>TC-P01-018</x:v>
      </x:c>
      <x:c r="B41" s="41" t="str">
        <x:v>P01</x:v>
      </x:c>
      <x:c r="C41" s="41" t="str">
        <x:v>Identity migration rollback/replay</x:v>
      </x:c>
      <x:c r="D41" s="41" t="str">
        <x:v>Database</x:v>
      </x:c>
      <x:c r="E41" s="41" t="str">
        <x:v>PostgreSQL 16 available</x:v>
      </x:c>
      <x:c r="F41" s="41" t="str">
        <x:v>Upgrade through 0004; downgrade; replay to head</x:v>
      </x:c>
      <x:c r="G41" s="41" t="str">
        <x:v>Identity, manager and cleanup indexes migrate reversibly</x:v>
      </x:c>
      <x:c r="H41" s="41" t="str">
        <x:v>Automated</x:v>
      </x:c>
      <x:c r="I41" s="41" t="str">
        <x:v>alembic downgrade 20260825_0003; alembic upgrade head</x:v>
      </x:c>
      <x:c r="J41" s="41" t="str">
        <x:v>Critical</x:v>
      </x:c>
      <x:c r="K41" s="41" t="str">
        <x:v>Passed</x:v>
      </x:c>
      <x:c r="L41" s="41" t="str">
        <x:v>Yes</x:v>
      </x:c>
      <x:c r="M41" s="41" t="str">
        <x:v>Migration upgrade/downgrade/replay passed</x:v>
      </x:c>
    </x:row>
    <x:row r="42" ht="54" customHeight="1">
      <x:c r="A42" s="41" t="str">
        <x:v>TC-P01-019</x:v>
      </x:c>
      <x:c r="B42" s="41" t="str">
        <x:v>P01</x:v>
      </x:c>
      <x:c r="C42" s="41" t="str">
        <x:v>Backend quality gate</x:v>
      </x:c>
      <x:c r="D42" s="41" t="str">
        <x:v>Quality</x:v>
      </x:c>
      <x:c r="E42" s="41" t="str">
        <x:v>Development dependencies and PostgreSQL available</x:v>
      </x:c>
      <x:c r="F42" s="41" t="str">
        <x:v>Run Ruff and full suite with coverage threshold</x:v>
      </x:c>
      <x:c r="G42" s="41" t="str">
        <x:v>Ruff passes; 23 tests pass; coverage is at least 85%</x:v>
      </x:c>
      <x:c r="H42" s="41" t="str">
        <x:v>Automated</x:v>
      </x:c>
      <x:c r="I42" s="41" t="str">
        <x:v>ruff check api tests migrations; pytest --cov-fail-under=85</x:v>
      </x:c>
      <x:c r="J42" s="41" t="str">
        <x:v>Critical</x:v>
      </x:c>
      <x:c r="K42" s="41" t="str">
        <x:v>Passed</x:v>
      </x:c>
      <x:c r="L42" s="41" t="str">
        <x:v>Yes</x:v>
      </x:c>
      <x:c r="M42" s="41" t="str">
        <x:v>23 passed; 90.46% coverage</x:v>
      </x:c>
    </x:row>
    <x:row r="43" ht="54" customHeight="1">
      <x:c r="A43" s="41" t="str">
        <x:v>TC-P01-020</x:v>
      </x:c>
      <x:c r="B43" s="41" t="str">
        <x:v>P01</x:v>
      </x:c>
      <x:c r="C43" s="41" t="str">
        <x:v>Authenticated administration UI</x:v>
      </x:c>
      <x:c r="D43" s="41" t="str">
        <x:v>UI</x:v>
      </x:c>
      <x:c r="E43" s="41" t="str">
        <x:v>API, frontend and administrator session</x:v>
      </x:c>
      <x:c r="F43" s="41" t="str">
        <x:v>Open Users, Roles &amp; Permissions and Departments; exercise menus and add modals</x:v>
      </x:c>
      <x:c r="G43" s="41" t="str">
        <x:v>Lists align; action popovers float; all four modals are contained</x:v>
      </x:c>
      <x:c r="H43" s="41" t="str">
        <x:v>Manual</x:v>
      </x:c>
      <x:c r="I43" s="41" t="str">
        <x:v>Browser walkthrough at http://127.0.0.1:5175</x:v>
      </x:c>
      <x:c r="J43" s="41" t="str">
        <x:v>High</x:v>
      </x:c>
      <x:c r="K43" s="41" t="str">
        <x:v>Passed</x:v>
      </x:c>
      <x:c r="L43" s="41" t="str">
        <x:v>Yes</x:v>
      </x:c>
      <x:c r="M43" s="41" t="str">
        <x:v>Authenticated desktop audit passed</x:v>
      </x:c>
    </x:row>
    <x:row r="44" ht="54" customHeight="1">
      <x:c r="A44" s="41" t="str">
        <x:v>TC-P01-021</x:v>
      </x:c>
      <x:c r="B44" s="41" t="str">
        <x:v>P01</x:v>
      </x:c>
      <x:c r="C44" s="41" t="str">
        <x:v>Standalone frontend regression</x:v>
      </x:c>
      <x:c r="D44" s="41" t="str">
        <x:v>Resilience</x:v>
      </x:c>
      <x:c r="E44" s="41" t="str">
        <x:v>Frontend-only branch dependencies installed</x:v>
      </x:c>
      <x:c r="F44" s="41" t="str">
        <x:v>Build and launch with VITE_DATA_SOURCE=mock; open four routes</x:v>
      </x:c>
      <x:c r="G44" s="41" t="str">
        <x:v>Build succeeds; routes render Mock data with no horizontal overflow</x:v>
      </x:c>
      <x:c r="H44" s="41" t="str">
        <x:v>Automated</x:v>
      </x:c>
      <x:c r="I44" s="41" t="str">
        <x:v>pnpm build; VITE_DATA_SOURCE=mock vite --port 5177</x:v>
      </x:c>
      <x:c r="J44" s="41" t="str">
        <x:v>Critical</x:v>
      </x:c>
      <x:c r="K44" s="41" t="str">
        <x:v>Passed</x:v>
      </x:c>
      <x:c r="L44" s="41" t="str">
        <x:v>Yes</x:v>
      </x:c>
      <x:c r="M44" s="41" t="str">
        <x:v>Frontend commit 7043f0f validated 2026-08-27</x:v>
      </x:c>
    </x:row>
    <x:row r="45" ht="54" customHeight="1">
      <x:c r="A45" s="41" t="str">
        <x:v>TC-P01-022</x:v>
      </x:c>
      <x:c r="B45" s="41" t="str">
        <x:v>P01</x:v>
      </x:c>
      <x:c r="C45" s="41" t="str">
        <x:v>Department report Excel export</x:v>
      </x:c>
      <x:c r="D45" s="41" t="str">
        <x:v>UI</x:v>
      </x:c>
      <x:c r="E45" s="41" t="str">
        <x:v>Dashboard report data available</x:v>
      </x:c>
      <x:c r="F45" s="41" t="str">
        <x:v>Apply filters and select Export Excel</x:v>
      </x:c>
      <x:c r="G45" s="41" t="str">
        <x:v>Browser downloads a valid XLSX report using active filters</x:v>
      </x:c>
      <x:c r="H45" s="41" t="str">
        <x:v>Manual</x:v>
      </x:c>
      <x:c r="I45" s="41" t="str">
        <x:v>Dashboard &gt; Department Transaction Report &gt; Export Excel</x:v>
      </x:c>
      <x:c r="J45" s="41" t="str">
        <x:v>High</x:v>
      </x:c>
      <x:c r="K45" s="41" t="str">
        <x:v>Passed</x:v>
      </x:c>
      <x:c r="L45" s="41" t="str">
        <x:v>Yes</x:v>
      </x:c>
      <x:c r="M45" s="41" t="str">
        <x:v>Finance-filtered XLSX reopened: Summary + Transactions, 2 rows, PHP 113,850</x:v>
      </x:c>
    </x:row>
    <x:row r="46" ht="60" customHeight="1">
      <x:c r="A46" s="41" t="str">
        <x:v>TC-P01-023</x:v>
      </x:c>
      <x:c r="B46" s="41" t="str">
        <x:v>P01</x:v>
      </x:c>
      <x:c r="C46" s="41" t="str">
        <x:v>Dedicated test database lifecycle</x:v>
      </x:c>
      <x:c r="D46" s="41" t="str">
        <x:v>Database</x:v>
      </x:c>
      <x:c r="E46" s="41" t="str">
        <x:v>Empty payment_module_test database</x:v>
      </x:c>
      <x:c r="F46" s="41" t="str">
        <x:v>Upgrade 0001-0004; seed twice; downgrade to base; replay to head</x:v>
      </x:c>
      <x:c r="G46" s="41" t="str">
        <x:v>All migration and deterministic seed operations complete on the isolated database</x:v>
      </x:c>
      <x:c r="H46" s="41" t="str">
        <x:v>Automated</x:v>
      </x:c>
      <x:c r="I46" s="41" t="str">
        <x:v>alembic upgrade/downgrade/replay using TEST_DATABASE_URL</x:v>
      </x:c>
      <x:c r="J46" s="41" t="str">
        <x:v>Critical</x:v>
      </x:c>
      <x:c r="K46" s="41" t="str">
        <x:v>Passed</x:v>
      </x:c>
      <x:c r="L46" s="41" t="str">
        <x:v>Yes</x:v>
      </x:c>
      <x:c r="M46" s="41" t="str">
        <x:v>Isolated PostgreSQL 16 validation 2026-08-27</x:v>
      </x:c>
    </x:row>
    <x:row r="47" ht="60" customHeight="1">
      <x:c r="A47" s="41" t="str">
        <x:v>TC-P01-024</x:v>
      </x:c>
      <x:c r="B47" s="41" t="str">
        <x:v>P01</x:v>
      </x:c>
      <x:c r="C47" s="41" t="str">
        <x:v>Concurrent login and session fixation</x:v>
      </x:c>
      <x:c r="D47" s="41" t="str">
        <x:v>Security</x:v>
      </x:c>
      <x:c r="E47" s="41" t="str">
        <x:v>Seeded administrator</x:v>
      </x:c>
      <x:c r="F47" s="41" t="str">
        <x:v>Run four concurrent logins and supply an attacker-controlled cookie</x:v>
      </x:c>
      <x:c r="G47" s="41" t="str">
        <x:v>Each login receives a distinct valid session; supplied cookie is replaced; HttpOnly/SameSite/Path flags are present</x:v>
      </x:c>
      <x:c r="H47" s="41" t="str">
        <x:v>Automated</x:v>
      </x:c>
      <x:c r="I47" s="41" t="str">
        <x:v>pytest tests/test_release_readiness.py</x:v>
      </x:c>
      <x:c r="J47" s="41" t="str">
        <x:v>Critical</x:v>
      </x:c>
      <x:c r="K47" s="41" t="str">
        <x:v>Passed</x:v>
      </x:c>
      <x:c r="L47" s="41" t="str">
        <x:v>Yes</x:v>
      </x:c>
      <x:c r="M47" s="41" t="str">
        <x:v>3 release-readiness tests passed</x:v>
      </x:c>
    </x:row>
    <x:row r="48" ht="60" customHeight="1">
      <x:c r="A48" s="41" t="str">
        <x:v>TC-P01-025</x:v>
      </x:c>
      <x:c r="B48" s="41" t="str">
        <x:v>P01</x:v>
      </x:c>
      <x:c r="C48" s="41" t="str">
        <x:v>Concurrent-session suspension</x:v>
      </x:c>
      <x:c r="D48" s="41" t="str">
        <x:v>Security</x:v>
      </x:c>
      <x:c r="E48" s="41" t="str">
        <x:v>Two active requestor sessions and administrator</x:v>
      </x:c>
      <x:c r="F48" s="41" t="str">
        <x:v>Suspend requestor while both sessions are active</x:v>
      </x:c>
      <x:c r="G48" s="41" t="str">
        <x:v>Both sessions immediately return 401 and account can be safely restored</x:v>
      </x:c>
      <x:c r="H48" s="41" t="str">
        <x:v>Automated</x:v>
      </x:c>
      <x:c r="I48" s="41" t="str">
        <x:v>pytest test_suspension_revokes_all_concurrent_sessions</x:v>
      </x:c>
      <x:c r="J48" s="41" t="str">
        <x:v>Critical</x:v>
      </x:c>
      <x:c r="K48" s="41" t="str">
        <x:v>Passed</x:v>
      </x:c>
      <x:c r="L48" s="41" t="str">
        <x:v>Yes</x:v>
      </x:c>
      <x:c r="M48" s="41" t="str">
        <x:v>Isolated database; test state restored</x:v>
      </x:c>
    </x:row>
    <x:row r="49" ht="60" customHeight="1">
      <x:c r="A49" s="41" t="str">
        <x:v>TC-P01-026</x:v>
      </x:c>
      <x:c r="B49" s="41" t="str">
        <x:v>P01</x:v>
      </x:c>
      <x:c r="C49" s="41" t="str">
        <x:v>Large session cleanup batch</x:v>
      </x:c>
      <x:c r="D49" s="41" t="str">
        <x:v>Maintenance</x:v>
      </x:c>
      <x:c r="E49" s="41" t="str">
        <x:v>2,005 expired sessions and one active session</x:v>
      </x:c>
      <x:c r="F49" s="41" t="str">
        <x:v>Clean with batch size 500</x:v>
      </x:c>
      <x:c r="G49" s="41" t="str">
        <x:v>All 2,005 expired sessions are deleted across batches and active session remains</x:v>
      </x:c>
      <x:c r="H49" s="41" t="str">
        <x:v>Automated</x:v>
      </x:c>
      <x:c r="I49" s="41" t="str">
        <x:v>pytest test_cleanup_batches_thousands_without_removing_active_sessions</x:v>
      </x:c>
      <x:c r="J49" s="41" t="str">
        <x:v>High</x:v>
      </x:c>
      <x:c r="K49" s="41" t="str">
        <x:v>Passed</x:v>
      </x:c>
      <x:c r="L49" s="41" t="str">
        <x:v>Yes</x:v>
      </x:c>
      <x:c r="M49" s="41" t="str">
        <x:v>27-test suite; cleanup data removed</x:v>
      </x:c>
    </x:row>
    <x:row r="50" ht="60" customHeight="1">
      <x:c r="A50" s="41" t="str">
        <x:v>TC-P01-027</x:v>
      </x:c>
      <x:c r="B50" s="41" t="str">
        <x:v>P01</x:v>
      </x:c>
      <x:c r="C50" s="41" t="str">
        <x:v>PostgreSQL backup and restore</x:v>
      </x:c>
      <x:c r="D50" s="41" t="str">
        <x:v>Recovery</x:v>
      </x:c>
      <x:c r="E50" s="41" t="str">
        <x:v>Migrated isolated database</x:v>
      </x:c>
      <x:c r="F50" s="41" t="str">
        <x:v>pg_dump custom format; restore to fresh database; compare revision and table counts</x:v>
      </x:c>
      <x:c r="G50" s="41" t="str">
        <x:v>Revision 20260826_0004 and sampled counts match exactly</x:v>
      </x:c>
      <x:c r="H50" s="41" t="str">
        <x:v>Automated</x:v>
      </x:c>
      <x:c r="I50" s="41" t="str">
        <x:v>pg_dump / pg_restore payment_module_test</x:v>
      </x:c>
      <x:c r="J50" s="41" t="str">
        <x:v>Critical</x:v>
      </x:c>
      <x:c r="K50" s="41" t="str">
        <x:v>Passed</x:v>
      </x:c>
      <x:c r="L50" s="41" t="str">
        <x:v>Yes</x:v>
      </x:c>
      <x:c r="M50" s="41" t="str">
        <x:v>Restore DB and dump removed after comparison</x:v>
      </x:c>
    </x:row>
    <x:row r="51" ht="60" customHeight="1">
      <x:c r="A51" s="41" t="str">
        <x:v>TC-P01-028</x:v>
      </x:c>
      <x:c r="B51" s="41" t="str">
        <x:v>P01</x:v>
      </x:c>
      <x:c r="C51" s="41" t="str">
        <x:v>Session continuity after API restart</x:v>
      </x:c>
      <x:c r="D51" s="41" t="str">
        <x:v>Recovery</x:v>
      </x:c>
      <x:c r="E51" s="41" t="str">
        <x:v>Disposable API container and authenticated test session</x:v>
      </x:c>
      <x:c r="F51" s="41" t="str">
        <x:v>Restart API container; reuse session cookie</x:v>
      </x:c>
      <x:c r="G51" s="41" t="str">
        <x:v>Session remains valid and returns 200 after restart</x:v>
      </x:c>
      <x:c r="H51" s="41" t="str">
        <x:v>Automated</x:v>
      </x:c>
      <x:c r="I51" s="41" t="str">
        <x:v>Disposable Docker API on port 8003</x:v>
      </x:c>
      <x:c r="J51" s="41" t="str">
        <x:v>Critical</x:v>
      </x:c>
      <x:c r="K51" s="41" t="str">
        <x:v>Passed</x:v>
      </x:c>
      <x:c r="L51" s="41" t="str">
        <x:v>Yes</x:v>
      </x:c>
      <x:c r="M51" s="41" t="str">
        <x:v>Required rebuilding stale local image; disposable resources removed</x:v>
      </x:c>
    </x:row>
    <x:row r="52" ht="60" customHeight="1">
      <x:c r="A52" s="41" t="str">
        <x:v>TC-P01-029</x:v>
      </x:c>
      <x:c r="B52" s="41" t="str">
        <x:v>P01</x:v>
      </x:c>
      <x:c r="C52" s="41" t="str">
        <x:v>Python static security scan</x:v>
      </x:c>
      <x:c r="D52" s="41" t="str">
        <x:v>Security</x:v>
      </x:c>
      <x:c r="E52" s="41" t="str">
        <x:v>Current API source</x:v>
      </x:c>
      <x:c r="F52" s="41" t="str">
        <x:v>Run Bandit recursively excluding tests</x:v>
      </x:c>
      <x:c r="G52" s="41" t="str">
        <x:v>No low, medium or high findings</x:v>
      </x:c>
      <x:c r="H52" s="41" t="str">
        <x:v>Automated</x:v>
      </x:c>
      <x:c r="I52" s="41" t="str">
        <x:v>bandit -r api -x tests</x:v>
      </x:c>
      <x:c r="J52" s="41" t="str">
        <x:v>High</x:v>
      </x:c>
      <x:c r="K52" s="41" t="str">
        <x:v>Passed</x:v>
      </x:c>
      <x:c r="L52" s="41" t="str">
        <x:v>Yes</x:v>
      </x:c>
      <x:c r="M52" s="41" t="str">
        <x:v>1,269 LOC scanned; zero findings</x:v>
      </x:c>
    </x:row>
    <x:row r="53" ht="60" customHeight="1">
      <x:c r="A53" s="41" t="str">
        <x:v>TC-P01-030</x:v>
      </x:c>
      <x:c r="B53" s="41" t="str">
        <x:v>P01</x:v>
      </x:c>
      <x:c r="C53" s="41" t="str">
        <x:v>Python dependency vulnerability audit</x:v>
      </x:c>
      <x:c r="D53" s="41" t="str">
        <x:v>Security</x:v>
      </x:c>
      <x:c r="E53" s="41" t="str">
        <x:v>Installed runtime and test environment</x:v>
      </x:c>
      <x:c r="F53" s="41" t="str">
        <x:v>Audit installed packages against current vulnerability data</x:v>
      </x:c>
      <x:c r="G53" s="41" t="str">
        <x:v>No known vulnerable runtime dependencies</x:v>
      </x:c>
      <x:c r="H53" s="41" t="str">
        <x:v>Automated</x:v>
      </x:c>
      <x:c r="I53" s="41" t="str">
        <x:v>pip-audit --local --skip-editable</x:v>
      </x:c>
      <x:c r="J53" s="41" t="str">
        <x:v>Critical</x:v>
      </x:c>
      <x:c r="K53" s="41" t="str">
        <x:v>Passed</x:v>
      </x:c>
      <x:c r="L53" s="41" t="str">
        <x:v>Yes</x:v>
      </x:c>
      <x:c r="M53" s="41" t="str">
        <x:v>pip-audit found no known vulnerabilities after runtime dependency remediation</x:v>
      </x:c>
    </x:row>
    <x:row r="54" ht="60" customHeight="1">
      <x:c r="A54" s="41" t="str">
        <x:v>TC-P01-031</x:v>
      </x:c>
      <x:c r="B54" s="41" t="str">
        <x:v>P01</x:v>
      </x:c>
      <x:c r="C54" s="41" t="str">
        <x:v>Frontend dependency vulnerability audit</x:v>
      </x:c>
      <x:c r="D54" s="41" t="str">
        <x:v>Security</x:v>
      </x:c>
      <x:c r="E54" s="41" t="str">
        <x:v>Current pnpm lockfile</x:v>
      </x:c>
      <x:c r="F54" s="41" t="str">
        <x:v>Run pnpm audit</x:v>
      </x:c>
      <x:c r="G54" s="41" t="str">
        <x:v>No high or moderate vulnerabilities</x:v>
      </x:c>
      <x:c r="H54" s="41" t="str">
        <x:v>Automated</x:v>
      </x:c>
      <x:c r="I54" s="41" t="str">
        <x:v>pnpm audit</x:v>
      </x:c>
      <x:c r="J54" s="41" t="str">
        <x:v>Critical</x:v>
      </x:c>
      <x:c r="K54" s="41" t="str">
        <x:v>Passed</x:v>
      </x:c>
      <x:c r="L54" s="41" t="str">
        <x:v>Yes</x:v>
      </x:c>
      <x:c r="M54" s="41" t="str">
        <x:v>pnpm audit found no known vulnerabilities; SheetJS 0.20.3 vendored from official distribution</x:v>
      </x:c>
    </x:row>
    <x:row r="55" ht="60" customHeight="1">
      <x:c r="A55" s="41" t="str">
        <x:v>TC-P01-032</x:v>
      </x:c>
      <x:c r="B55" s="41" t="str">
        <x:v>P01</x:v>
      </x:c>
      <x:c r="C55" s="41" t="str">
        <x:v>Integrated frontend production build</x:v>
      </x:c>
      <x:c r="D55" s="41" t="str">
        <x:v>Frontend</x:v>
      </x:c>
      <x:c r="E55" s="41" t="str">
        <x:v>Bundled Node runtime and installed dependencies</x:v>
      </x:c>
      <x:c r="F55" s="41" t="str">
        <x:v>Run TypeScript and Vite production build</x:v>
      </x:c>
      <x:c r="G55" s="41" t="str">
        <x:v>Build completes and emits HTML, CSS, application and XLSX chunks</x:v>
      </x:c>
      <x:c r="H55" s="41" t="str">
        <x:v>Automated</x:v>
      </x:c>
      <x:c r="I55" s="41" t="str">
        <x:v>pnpm run build</x:v>
      </x:c>
      <x:c r="J55" s="41" t="str">
        <x:v>Critical</x:v>
      </x:c>
      <x:c r="K55" s="41" t="str">
        <x:v>Passed</x:v>
      </x:c>
      <x:c r="L55" s="41" t="str">
        <x:v>Yes</x:v>
      </x:c>
      <x:c r="M55" s="41" t="str">
        <x:v>Vite build completed 2026-08-27</x:v>
      </x:c>
    </x:row>
    <x:row r="56" ht="60" customHeight="1">
      <x:c r="A56" s="41" t="str">
        <x:v>TC-P01-033</x:v>
      </x:c>
      <x:c r="B56" s="41" t="str">
        <x:v>P01</x:v>
      </x:c>
      <x:c r="C56" s="41" t="str">
        <x:v>Frontend/API proxy smoke test</x:v>
      </x:c>
      <x:c r="D56" s="41" t="str">
        <x:v>Integration</x:v>
      </x:c>
      <x:c r="E56" s="41" t="str">
        <x:v>Integrated frontend on 5176; API on 8002</x:v>
      </x:c>
      <x:c r="F56" s="41" t="str">
        <x:v>Load root; login and logout through Vite proxy</x:v>
      </x:c>
      <x:c r="G56" s="41" t="str">
        <x:v>Root returns 200; proxy login succeeds; logout returns 204</x:v>
      </x:c>
      <x:c r="H56" s="41" t="str">
        <x:v>Automated</x:v>
      </x:c>
      <x:c r="I56" s="41" t="str">
        <x:v>HTTP smoke test against 127.0.0.1:5176</x:v>
      </x:c>
      <x:c r="J56" s="41" t="str">
        <x:v>Critical</x:v>
      </x:c>
      <x:c r="K56" s="41" t="str">
        <x:v>Passed</x:v>
      </x:c>
      <x:c r="L56" s="41" t="str">
        <x:v>Yes</x:v>
      </x:c>
      <x:c r="M56" s="41" t="str">
        <x:v>Frontend-only port 5175 was not used</x:v>
      </x:c>
    </x:row>
    <x:row r="57" ht="60" customHeight="1">
      <x:c r="A57" s="41" t="str">
        <x:v>TC-P01-034</x:v>
      </x:c>
      <x:c r="B57" s="41" t="str">
        <x:v>P01</x:v>
      </x:c>
      <x:c r="C57" s="41" t="str">
        <x:v>Responsive and accessibility walkthrough</x:v>
      </x:c>
      <x:c r="D57" s="41" t="str">
        <x:v>UI</x:v>
      </x:c>
      <x:c r="E57" s="41" t="str">
        <x:v>Interactive browser automation available</x:v>
      </x:c>
      <x:c r="F57" s="41" t="str">
        <x:v>Test admin pages, modals, keyboard flow, labels and narrow layouts</x:v>
      </x:c>
      <x:c r="G57" s="41" t="str">
        <x:v>No alignment, focus, naming or overflow defects</x:v>
      </x:c>
      <x:c r="H57" s="41" t="str">
        <x:v>Manual</x:v>
      </x:c>
      <x:c r="I57" s="41" t="str">
        <x:v>In-app browser walkthrough</x:v>
      </x:c>
      <x:c r="J57" s="41" t="str">
        <x:v>High</x:v>
      </x:c>
      <x:c r="K57" s="41" t="str">
        <x:v>Passed</x:v>
      </x:c>
      <x:c r="L57" s="41" t="str">
        <x:v>Yes</x:v>
      </x:c>
      <x:c r="M57" s="41" t="str">
        <x:v>Desktop/mobile administration walkthrough found no overflow, unnamed buttons, or unlabeled controls</x:v>
      </x:c>
    </x:row>
    <x:row r="58" ht="60" customHeight="1">
      <x:c r="A58" s="41" t="str">
        <x:v>TC-P01-035</x:v>
      </x:c>
      <x:c r="B58" s="41" t="str">
        <x:v>P01</x:v>
      </x:c>
      <x:c r="C58" s="41" t="str">
        <x:v>Cross-browser compatibility</x:v>
      </x:c>
      <x:c r="D58" s="41" t="str">
        <x:v>UI</x:v>
      </x:c>
      <x:c r="E58" s="41" t="str">
        <x:v>Chrome, Firefox and Safari environments</x:v>
      </x:c>
      <x:c r="F58" s="41" t="str">
        <x:v>Run authentication and administration smoke paths in each browser</x:v>
      </x:c>
      <x:c r="G58" s="41" t="str">
        <x:v>Supported browsers render and behave consistently</x:v>
      </x:c>
      <x:c r="H58" s="41" t="str">
        <x:v>Manual</x:v>
      </x:c>
      <x:c r="I58" s="41" t="str">
        <x:v>External browser matrix</x:v>
      </x:c>
      <x:c r="J58" s="41" t="str">
        <x:v>High</x:v>
      </x:c>
      <x:c r="K58" s="41" t="str">
        <x:v>Blocked</x:v>
      </x:c>
      <x:c r="L58" s="41" t="str">
        <x:v>No</x:v>
      </x:c>
      <x:c r="M58" s="41" t="str">
        <x:v>Chrome and in-app Chromium passed; Firefox and Safari unavailable on Windows host</x:v>
      </x:c>
    </x:row>
    <x:row r="59" ht="60" customHeight="1">
      <x:c r="A59" s="41" t="str">
        <x:v>TC-P01-036</x:v>
      </x:c>
      <x:c r="B59" s="41" t="str">
        <x:v>P01</x:v>
      </x:c>
      <x:c r="C59" s="41" t="str">
        <x:v>Downloaded Excel workbook integrity</x:v>
      </x:c>
      <x:c r="D59" s="41" t="str">
        <x:v>Reporting</x:v>
      </x:c>
      <x:c r="E59" s="41" t="str">
        <x:v>Interactive browser download available</x:v>
      </x:c>
      <x:c r="F59" s="41" t="str">
        <x:v>Export filtered department report; reopen workbook and validate sheets/filters</x:v>
      </x:c>
      <x:c r="G59" s="41" t="str">
        <x:v>Valid XLSX contains Summary and Transactions sheets matching active filters</x:v>
      </x:c>
      <x:c r="H59" s="41" t="str">
        <x:v>Manual</x:v>
      </x:c>
      <x:c r="I59" s="41" t="str">
        <x:v>Dashboard &gt; Export Excel &gt; reopen workbook</x:v>
      </x:c>
      <x:c r="J59" s="41" t="str">
        <x:v>High</x:v>
      </x:c>
      <x:c r="K59" s="41" t="str">
        <x:v>Passed</x:v>
      </x:c>
      <x:c r="L59" s="41" t="str">
        <x:v>Yes</x:v>
      </x:c>
      <x:c r="M59" s="41" t="str">
        <x:v>Downloaded workbook sheets, filters, totals, and formula-error scan passed</x:v>
      </x:c>
    </x:row>
  </x:sheetData>
  <x:mergeCells>
    <x:mergeCell ref="A1:M1"/>
    <x:mergeCell ref="A2:M2"/>
  </x:mergeCells>
  <x:conditionalFormatting sqref="K4:K300">
    <x:cfRule type="containsText" dxfId="21" priority="1" operator="containsText" text="Passed"/>
    <x:cfRule type="containsText" dxfId="22" priority="2" operator="containsText" text="Validated"/>
    <x:cfRule type="containsText" dxfId="23" priority="3" operator="containsText" text="Accepted"/>
    <x:cfRule type="containsText" dxfId="24" priority="4" operator="containsText" text="Failed"/>
    <x:cfRule type="containsText" dxfId="25" priority="5" operator="containsText" text="Blocked"/>
    <x:cfRule type="containsText" dxfId="26" priority="6" operator="containsText" text="Not Run"/>
    <x:cfRule type="containsText" dxfId="27" priority="7" operator="containsText" text="Pending"/>
  </x:conditionalFormatting>
  <x:dataValidations count="9">
    <x:dataValidation type="list" sqref="J4:J300">
      <x:formula1>"Critical,High,Medium,Low"</x:formula1>
    </x:dataValidation>
    <x:dataValidation type="list" sqref="K4:K300">
      <x:formula1>"Not Run,Passed,Failed,Blocked,N/A"</x:formula1>
    </x:dataValidation>
    <x:dataValidation type="list" sqref="L4:L300">
      <x:formula1>"Yes,No"</x:formula1>
    </x:dataValidation>
    <x:dataValidation type="list" sqref="J24:J45">
      <x:formula1>"Critical,High,Medium,Low"</x:formula1>
    </x:dataValidation>
    <x:dataValidation type="list" sqref="K24:K45">
      <x:formula1>"Not Run,Passed,Failed,Blocked,N/A"</x:formula1>
    </x:dataValidation>
    <x:dataValidation type="list" sqref="L24:L45">
      <x:formula1>"Yes,No"</x:formula1>
    </x:dataValidation>
    <x:dataValidation type="list" sqref="J46:J59">
      <x:formula1>"Critical,High,Medium,Low"</x:formula1>
    </x:dataValidation>
    <x:dataValidation type="list" sqref="K46:K59">
      <x:formula1>"Not Run,Passed,Failed,Blocked,N/A"</x:formula1>
    </x:dataValidation>
    <x:dataValidation type="list" sqref="L46:L5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9d9b89381a4f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22" hidden="0" customWidth="1"/>
    <x:col min="10" max="10" width="14" hidden="0" customWidth="1"/>
    <x:col min="11" max="11" width="14" hidden="0" customWidth="1"/>
    <x:col min="12" max="12" width="44" hidden="0" customWidth="1"/>
  </x:cols>
  <x:sheetData>
    <x:row r="1" ht="21.600000381469727" hidden="0" customHeight="1">
      <x:c r="A1" s="3" t="str">
        <x:v>Test Execution History</x:v>
      </x:c>
    </x:row>
    <x:row r="2" ht="15" hidden="0" customHeight="1">
      <x:c r="A2" s="6" t="str">
        <x:v>Append-only history of test runs, actual results, defects and retest requirements.</x:v>
      </x:c>
    </x:row>
    <x:row r="3" ht="26.399999618530273" hidden="0" customHeight="1">
      <x:c r="A3" s="13" t="str">
        <x:v>Run ID</x:v>
      </x:c>
      <x:c r="B3" s="36" t="str">
        <x:v>Test ID</x:v>
      </x:c>
      <x:c r="C3" s="36" t="str">
        <x:v>Run Date</x:v>
      </x:c>
      <x:c r="D3" s="36" t="str">
        <x:v>Environment</x:v>
      </x:c>
      <x:c r="E3" s="36" t="str">
        <x:v>Build / Commit</x:v>
      </x:c>
      <x:c r="F3" s="36" t="str">
        <x:v>Execution Status</x:v>
      </x:c>
      <x:c r="G3" s="36" t="str">
        <x:v>Result</x:v>
      </x:c>
      <x:c r="H3" s="36" t="str">
        <x:v>Actual Result</x:v>
      </x:c>
      <x:c r="I3" s="36" t="str">
        <x:v>Executed By</x:v>
      </x:c>
      <x:c r="J3" s="36" t="str">
        <x:v>Defect ID</x:v>
      </x:c>
      <x:c r="K3" s="36" t="str">
        <x:v>Retest</x:v>
      </x:c>
      <x:c r="L3" s="14" t="str">
        <x:v>Notes</x:v>
      </x:c>
    </x:row>
    <x:row r="4" ht="60" hidden="0" customHeight="1">
      <x:c r="A4" s="22" t="str">
        <x:v>RUN-20260825-001</x:v>
      </x:c>
      <x:c r="B4" s="22" t="str">
        <x:v>TC-P00-001</x:v>
      </x:c>
      <x:c r="C4" s="37" t="n">
        <x:v>46259</x:v>
      </x:c>
      <x:c r="D4" s="22" t="str">
        <x:v>Local WSL2 / Docker Desktop / PostgreSQL 16</x:v>
      </x:c>
      <x:c r="E4" s="22" t="str">
        <x:v>4ddd199</x:v>
      </x:c>
      <x:c r="F4" s="22" t="str">
        <x:v>Executed</x:v>
      </x:c>
      <x:c r="G4" s="22" t="str">
        <x:v>Passed</x:v>
      </x:c>
      <x:c r="H4" s="22" t="str">
        <x:v>Local run 2026-08-25</x:v>
      </x:c>
      <x:c r="I4" s="22" t="str">
        <x:v>Codex local audit</x:v>
      </x:c>
      <x:c r="J4" s="22" t="str"/>
      <x:c r="K4" s="22" t="str">
        <x:v>No</x:v>
      </x:c>
      <x:c r="L4" s="22" t="str">
        <x:v>Evidence recorded in docs/phase-00-validation.md</x:v>
      </x:c>
    </x:row>
    <x:row r="5" ht="60" hidden="0" customHeight="1">
      <x:c r="A5" s="23" t="str">
        <x:v>RUN-20260825-002</x:v>
      </x:c>
      <x:c r="B5" s="23" t="str">
        <x:v>TC-P00-002</x:v>
      </x:c>
      <x:c r="C5" s="38" t="n">
        <x:v>46259</x:v>
      </x:c>
      <x:c r="D5" s="23" t="str">
        <x:v>Local WSL2 / Docker Desktop / PostgreSQL 16</x:v>
      </x:c>
      <x:c r="E5" s="23" t="str">
        <x:v>4ddd199</x:v>
      </x:c>
      <x:c r="F5" s="23" t="str">
        <x:v>Executed</x:v>
      </x:c>
      <x:c r="G5" s="23" t="str">
        <x:v>Passed</x:v>
      </x:c>
      <x:c r="H5" s="23" t="str">
        <x:v>Local Docker run 2026-08-25</x:v>
      </x:c>
      <x:c r="I5" s="23" t="str">
        <x:v>Codex local audit</x:v>
      </x:c>
      <x:c r="J5" s="23" t="str"/>
      <x:c r="K5" s="23" t="str">
        <x:v>No</x:v>
      </x:c>
      <x:c r="L5" s="23" t="str">
        <x:v>Evidence recorded in docs/phase-00-validation.md</x:v>
      </x:c>
    </x:row>
    <x:row r="6" ht="60" hidden="0" customHeight="1">
      <x:c r="A6" s="23" t="str">
        <x:v>RUN-20260825-003</x:v>
      </x:c>
      <x:c r="B6" s="23" t="str">
        <x:v>TC-P00-003</x:v>
      </x:c>
      <x:c r="C6" s="38" t="n">
        <x:v>46259</x:v>
      </x:c>
      <x:c r="D6" s="23" t="str">
        <x:v>Local WSL2 / Docker Desktop / PostgreSQL 16</x:v>
      </x:c>
      <x:c r="E6" s="23" t="str">
        <x:v>4ddd199</x:v>
      </x:c>
      <x:c r="F6" s="23" t="str">
        <x:v>Executed</x:v>
      </x:c>
      <x:c r="G6" s="23" t="str">
        <x:v>Passed</x:v>
      </x:c>
      <x:c r="H6" s="23" t="str">
        <x:v>Local run 2026-08-25</x:v>
      </x:c>
      <x:c r="I6" s="23" t="str">
        <x:v>Codex local audit</x:v>
      </x:c>
      <x:c r="J6" s="23" t="str"/>
      <x:c r="K6" s="23" t="str">
        <x:v>No</x:v>
      </x:c>
      <x:c r="L6" s="23" t="str">
        <x:v>Evidence recorded in docs/phase-00-validation.md</x:v>
      </x:c>
    </x:row>
    <x:row r="7" ht="60" hidden="0" customHeight="1">
      <x:c r="A7" s="23" t="str">
        <x:v>RUN-20260825-004</x:v>
      </x:c>
      <x:c r="B7" s="23" t="str">
        <x:v>TC-P00-004</x:v>
      </x:c>
      <x:c r="C7" s="38" t="n">
        <x:v>46259</x:v>
      </x:c>
      <x:c r="D7" s="23" t="str">
        <x:v>Local WSL2 / Docker Desktop / PostgreSQL 16</x:v>
      </x:c>
      <x:c r="E7" s="23" t="str">
        <x:v>4ddd199</x:v>
      </x:c>
      <x:c r="F7" s="23" t="str">
        <x:v>Executed</x:v>
      </x:c>
      <x:c r="G7" s="23" t="str">
        <x:v>Passed</x:v>
      </x:c>
      <x:c r="H7" s="23" t="str">
        <x:v>Local Docker run 2026-08-25</x:v>
      </x:c>
      <x:c r="I7" s="23" t="str">
        <x:v>Codex local audit</x:v>
      </x:c>
      <x:c r="J7" s="23" t="str"/>
      <x:c r="K7" s="23" t="str">
        <x:v>No</x:v>
      </x:c>
      <x:c r="L7" s="23" t="str">
        <x:v>Evidence recorded in docs/phase-00-validation.md</x:v>
      </x:c>
    </x:row>
    <x:row r="8" ht="60" hidden="0" customHeight="1">
      <x:c r="A8" s="23" t="str">
        <x:v>RUN-20260825-005</x:v>
      </x:c>
      <x:c r="B8" s="23" t="str">
        <x:v>TC-P00-005</x:v>
      </x:c>
      <x:c r="C8" s="38" t="n">
        <x:v>46259</x:v>
      </x:c>
      <x:c r="D8" s="23" t="str">
        <x:v>Local WSL2 / Docker Desktop / PostgreSQL 16</x:v>
      </x:c>
      <x:c r="E8" s="23" t="str">
        <x:v>4ddd199</x:v>
      </x:c>
      <x:c r="F8" s="23" t="str">
        <x:v>Executed</x:v>
      </x:c>
      <x:c r="G8" s="23" t="str">
        <x:v>Passed</x:v>
      </x:c>
      <x:c r="H8" s="23" t="str">
        <x:v>Local run 2026-08-25</x:v>
      </x:c>
      <x:c r="I8" s="23" t="str">
        <x:v>Codex local audit</x:v>
      </x:c>
      <x:c r="J8" s="23" t="str"/>
      <x:c r="K8" s="23" t="str">
        <x:v>No</x:v>
      </x:c>
      <x:c r="L8" s="23" t="str">
        <x:v>Evidence recorded in docs/phase-00-validation.md</x:v>
      </x:c>
    </x:row>
    <x:row r="9" ht="72" hidden="0" customHeight="1">
      <x:c r="A9" s="23" t="str">
        <x:v>RUN-20260825-006</x:v>
      </x:c>
      <x:c r="B9" s="23" t="str">
        <x:v>TC-P00-006</x:v>
      </x:c>
      <x:c r="C9" s="38" t="n">
        <x:v>46259</x:v>
      </x:c>
      <x:c r="D9" s="23" t="str">
        <x:v>Local WSL2 / Docker Desktop / PostgreSQL 16</x:v>
      </x:c>
      <x:c r="E9" s="23" t="str">
        <x:v>4ddd199</x:v>
      </x:c>
      <x:c r="F9" s="23" t="str">
        <x:v>Executed</x:v>
      </x:c>
      <x:c r="G9" s="23" t="str">
        <x:v>Passed</x:v>
      </x:c>
      <x:c r="H9" s="23" t="str">
        <x:v>Supplied phase-00-propagation-test returned unchanged</x:v>
      </x:c>
      <x:c r="I9" s="23" t="str">
        <x:v>Codex local audit</x:v>
      </x:c>
      <x:c r="J9" s="23" t="str"/>
      <x:c r="K9" s="23" t="str">
        <x:v>No</x:v>
      </x:c>
      <x:c r="L9" s="23" t="str">
        <x:v>Evidence recorded in docs/phase-00-validation.md</x:v>
      </x:c>
    </x:row>
    <x:row r="10" ht="60" hidden="0" customHeight="1">
      <x:c r="A10" s="23" t="str">
        <x:v>RUN-20260825-007</x:v>
      </x:c>
      <x:c r="B10" s="23" t="str">
        <x:v>TC-P00-007</x:v>
      </x:c>
      <x:c r="C10" s="38" t="n">
        <x:v>46259</x:v>
      </x:c>
      <x:c r="D10" s="23" t="str">
        <x:v>Local WSL2 / Docker Desktop / PostgreSQL 16</x:v>
      </x:c>
      <x:c r="E10" s="23" t="str">
        <x:v>4ddd199</x:v>
      </x:c>
      <x:c r="F10" s="23" t="str">
        <x:v>Executed</x:v>
      </x:c>
      <x:c r="G10" s="23" t="str">
        <x:v>Passed</x:v>
      </x:c>
      <x:c r="H10" s="23" t="str">
        <x:v>Local run 2026-08-25</x:v>
      </x:c>
      <x:c r="I10" s="23" t="str">
        <x:v>Codex local audit</x:v>
      </x:c>
      <x:c r="J10" s="23" t="str"/>
      <x:c r="K10" s="23" t="str">
        <x:v>No</x:v>
      </x:c>
      <x:c r="L10" s="23" t="str">
        <x:v>Evidence recorded in docs/phase-00-validation.md</x:v>
      </x:c>
    </x:row>
    <x:row r="11" ht="60" hidden="0" customHeight="1">
      <x:c r="A11" s="23" t="str">
        <x:v>RUN-20260825-008</x:v>
      </x:c>
      <x:c r="B11" s="23" t="str">
        <x:v>TC-P00-008</x:v>
      </x:c>
      <x:c r="C11" s="38" t="n">
        <x:v>46259</x:v>
      </x:c>
      <x:c r="D11" s="23" t="str">
        <x:v>Local WSL2 / Docker Desktop / PostgreSQL 16</x:v>
      </x:c>
      <x:c r="E11" s="23" t="str">
        <x:v>4ddd199</x:v>
      </x:c>
      <x:c r="F11" s="23" t="str">
        <x:v>Executed</x:v>
      </x:c>
      <x:c r="G11" s="23" t="str">
        <x:v>Passed</x:v>
      </x:c>
      <x:c r="H11" s="23" t="str">
        <x:v>Local run 2026-08-25</x:v>
      </x:c>
      <x:c r="I11" s="23" t="str">
        <x:v>Codex local audit</x:v>
      </x:c>
      <x:c r="J11" s="23" t="str"/>
      <x:c r="K11" s="23" t="str">
        <x:v>No</x:v>
      </x:c>
      <x:c r="L11" s="23" t="str">
        <x:v>Evidence recorded in docs/phase-00-validation.md</x:v>
      </x:c>
    </x:row>
    <x:row r="12" ht="60" hidden="0" customHeight="1">
      <x:c r="A12" s="23" t="str">
        <x:v>RUN-20260825-009</x:v>
      </x:c>
      <x:c r="B12" s="23" t="str">
        <x:v>TC-P00-009</x:v>
      </x:c>
      <x:c r="C12" s="38" t="n">
        <x:v>46259</x:v>
      </x:c>
      <x:c r="D12" s="23" t="str">
        <x:v>Local WSL2 / Docker Desktop / PostgreSQL 16</x:v>
      </x:c>
      <x:c r="E12" s="23" t="str">
        <x:v>4ddd199</x:v>
      </x:c>
      <x:c r="F12" s="23" t="str">
        <x:v>Executed</x:v>
      </x:c>
      <x:c r="G12" s="23" t="str">
        <x:v>Passed</x:v>
      </x:c>
      <x:c r="H12" s="23" t="str">
        <x:v>Local run 2026-08-25</x:v>
      </x:c>
      <x:c r="I12" s="23" t="str">
        <x:v>Codex local audit</x:v>
      </x:c>
      <x:c r="J12" s="23" t="str"/>
      <x:c r="K12" s="23" t="str">
        <x:v>No</x:v>
      </x:c>
      <x:c r="L12" s="23" t="str">
        <x:v>Evidence recorded in docs/phase-00-validation.md</x:v>
      </x:c>
    </x:row>
    <x:row r="13" ht="60" hidden="0" customHeight="1">
      <x:c r="A13" s="23" t="str">
        <x:v>RUN-20260825-010</x:v>
      </x:c>
      <x:c r="B13" s="23" t="str">
        <x:v>TC-P00-010</x:v>
      </x:c>
      <x:c r="C13" s="38" t="n">
        <x:v>46259</x:v>
      </x:c>
      <x:c r="D13" s="23" t="str">
        <x:v>Local WSL2 / Docker Desktop / PostgreSQL 16</x:v>
      </x:c>
      <x:c r="E13" s="23" t="str">
        <x:v>4ddd199</x:v>
      </x:c>
      <x:c r="F13" s="23" t="str">
        <x:v>Executed</x:v>
      </x:c>
      <x:c r="G13" s="23" t="str">
        <x:v>Passed</x:v>
      </x:c>
      <x:c r="H13" s="23" t="str">
        <x:v>Local run 2026-08-25</x:v>
      </x:c>
      <x:c r="I13" s="23" t="str">
        <x:v>Codex local audit</x:v>
      </x:c>
      <x:c r="J13" s="23" t="str"/>
      <x:c r="K13" s="23" t="str">
        <x:v>No</x:v>
      </x:c>
      <x:c r="L13" s="23" t="str">
        <x:v>Evidence recorded in docs/phase-00-validation.md</x:v>
      </x:c>
    </x:row>
    <x:row r="14" ht="60" hidden="0" customHeight="1">
      <x:c r="A14" s="23" t="str">
        <x:v>RUN-20260825-011</x:v>
      </x:c>
      <x:c r="B14" s="23" t="str">
        <x:v>TC-P00-011</x:v>
      </x:c>
      <x:c r="C14" s="38" t="n">
        <x:v>46259</x:v>
      </x:c>
      <x:c r="D14" s="23" t="str">
        <x:v>Local WSL2 / Docker Desktop / PostgreSQL 16</x:v>
      </x:c>
      <x:c r="E14" s="23" t="str">
        <x:v>4ddd199</x:v>
      </x:c>
      <x:c r="F14" s="23" t="str">
        <x:v>Executed</x:v>
      </x:c>
      <x:c r="G14" s="23" t="str">
        <x:v>Passed</x:v>
      </x:c>
      <x:c r="H14" s="23" t="str">
        <x:v>Local run 2026-08-25</x:v>
      </x:c>
      <x:c r="I14" s="23" t="str">
        <x:v>Codex local audit</x:v>
      </x:c>
      <x:c r="J14" s="23" t="str"/>
      <x:c r="K14" s="23" t="str">
        <x:v>No</x:v>
      </x:c>
      <x:c r="L14" s="23" t="str">
        <x:v>Evidence recorded in docs/phase-00-validation.md</x:v>
      </x:c>
    </x:row>
    <x:row r="15" ht="60" hidden="0" customHeight="1">
      <x:c r="A15" s="23" t="str">
        <x:v>RUN-20260825-012</x:v>
      </x:c>
      <x:c r="B15" s="23" t="str">
        <x:v>TC-P00-012</x:v>
      </x:c>
      <x:c r="C15" s="38" t="n">
        <x:v>46259</x:v>
      </x:c>
      <x:c r="D15" s="23" t="str">
        <x:v>Local WSL2 / Docker Desktop / PostgreSQL 16</x:v>
      </x:c>
      <x:c r="E15" s="23" t="str">
        <x:v>4ddd199</x:v>
      </x:c>
      <x:c r="F15" s="23" t="str">
        <x:v>Executed</x:v>
      </x:c>
      <x:c r="G15" s="23" t="str">
        <x:v>Passed</x:v>
      </x:c>
      <x:c r="H15" s="23" t="str">
        <x:v>Local run 2026-08-25</x:v>
      </x:c>
      <x:c r="I15" s="23" t="str">
        <x:v>Codex local audit</x:v>
      </x:c>
      <x:c r="J15" s="23" t="str"/>
      <x:c r="K15" s="23" t="str">
        <x:v>No</x:v>
      </x:c>
      <x:c r="L15" s="23" t="str">
        <x:v>Evidence recorded in docs/phase-00-validation.md</x:v>
      </x:c>
    </x:row>
    <x:row r="16" ht="60" hidden="0" customHeight="1">
      <x:c r="A16" s="23" t="str">
        <x:v>RUN-20260825-013</x:v>
      </x:c>
      <x:c r="B16" s="23" t="str">
        <x:v>TC-P00-013</x:v>
      </x:c>
      <x:c r="C16" s="38" t="n">
        <x:v>46259</x:v>
      </x:c>
      <x:c r="D16" s="23" t="str">
        <x:v>Local WSL2 / Docker Desktop / PostgreSQL 16</x:v>
      </x:c>
      <x:c r="E16" s="23" t="str">
        <x:v>4ddd199</x:v>
      </x:c>
      <x:c r="F16" s="23" t="str">
        <x:v>Executed</x:v>
      </x:c>
      <x:c r="G16" s="23" t="str">
        <x:v>Passed</x:v>
      </x:c>
      <x:c r="H16" s="23" t="str">
        <x:v>Local run 2026-08-25</x:v>
      </x:c>
      <x:c r="I16" s="23" t="str">
        <x:v>Codex local audit</x:v>
      </x:c>
      <x:c r="J16" s="23" t="str"/>
      <x:c r="K16" s="23" t="str">
        <x:v>No</x:v>
      </x:c>
      <x:c r="L16" s="23" t="str">
        <x:v>Evidence recorded in docs/phase-00-validation.md</x:v>
      </x:c>
    </x:row>
    <x:row r="17" ht="60" hidden="0" customHeight="1">
      <x:c r="A17" s="23" t="str">
        <x:v>RUN-20260825-014</x:v>
      </x:c>
      <x:c r="B17" s="23" t="str">
        <x:v>TC-P00-014</x:v>
      </x:c>
      <x:c r="C17" s="38" t="n">
        <x:v>46259</x:v>
      </x:c>
      <x:c r="D17" s="23" t="str">
        <x:v>Local WSL2 / Docker Desktop / PostgreSQL 16</x:v>
      </x:c>
      <x:c r="E17" s="23" t="str">
        <x:v>4ddd199</x:v>
      </x:c>
      <x:c r="F17" s="23" t="str">
        <x:v>Executed</x:v>
      </x:c>
      <x:c r="G17" s="23" t="str">
        <x:v>Passed</x:v>
      </x:c>
      <x:c r="H17" s="23" t="str">
        <x:v>6 passed; 89% coverage</x:v>
      </x:c>
      <x:c r="I17" s="23" t="str">
        <x:v>Codex local audit</x:v>
      </x:c>
      <x:c r="J17" s="23" t="str"/>
      <x:c r="K17" s="23" t="str">
        <x:v>No</x:v>
      </x:c>
      <x:c r="L17" s="23" t="str">
        <x:v>Evidence recorded in docs/phase-00-validation.md</x:v>
      </x:c>
    </x:row>
    <x:row r="18" ht="60" hidden="0" customHeight="1">
      <x:c r="A18" s="23" t="str">
        <x:v>RUN-20260825-015</x:v>
      </x:c>
      <x:c r="B18" s="23" t="str">
        <x:v>TC-P00-015</x:v>
      </x:c>
      <x:c r="C18" s="38" t="n">
        <x:v>46259</x:v>
      </x:c>
      <x:c r="D18" s="23" t="str">
        <x:v>Local WSL2 / Docker Desktop / PostgreSQL 16</x:v>
      </x:c>
      <x:c r="E18" s="23" t="str">
        <x:v>4ddd199</x:v>
      </x:c>
      <x:c r="F18" s="23" t="str">
        <x:v>Executed</x:v>
      </x:c>
      <x:c r="G18" s="23" t="str">
        <x:v>Passed</x:v>
      </x:c>
      <x:c r="H18" s="23" t="str">
        <x:v>Vite 7.0.7 build passed</x:v>
      </x:c>
      <x:c r="I18" s="23" t="str">
        <x:v>Codex local audit</x:v>
      </x:c>
      <x:c r="J18" s="23" t="str"/>
      <x:c r="K18" s="23" t="str">
        <x:v>No</x:v>
      </x:c>
      <x:c r="L18" s="23" t="str">
        <x:v>Evidence recorded in docs/phase-00-validation.md</x:v>
      </x:c>
    </x:row>
    <x:row r="19" ht="60" hidden="0" customHeight="1">
      <x:c r="A19" s="23" t="str">
        <x:v>RUN-20260825-016</x:v>
      </x:c>
      <x:c r="B19" s="23" t="str">
        <x:v>TC-P00-016</x:v>
      </x:c>
      <x:c r="C19" s="38" t="n">
        <x:v>46259</x:v>
      </x:c>
      <x:c r="D19" s="23" t="str">
        <x:v>Local WSL2 / Docker Desktop / PostgreSQL 16</x:v>
      </x:c>
      <x:c r="E19" s="23" t="str">
        <x:v>4ddd199</x:v>
      </x:c>
      <x:c r="F19" s="23" t="str">
        <x:v>Executed</x:v>
      </x:c>
      <x:c r="G19" s="23" t="str">
        <x:v>Passed</x:v>
      </x:c>
      <x:c r="H19" s="23" t="str">
        <x:v>Browser verified; no console errors</x:v>
      </x:c>
      <x:c r="I19" s="23" t="str">
        <x:v>Codex local audit</x:v>
      </x:c>
      <x:c r="J19" s="23" t="str"/>
      <x:c r="K19" s="23" t="str">
        <x:v>No</x:v>
      </x:c>
      <x:c r="L19" s="23" t="str">
        <x:v>Evidence recorded in docs/phase-00-validation.md</x:v>
      </x:c>
    </x:row>
    <x:row r="20" ht="84" hidden="0" customHeight="1">
      <x:c r="A20" s="23" t="str">
        <x:v>RUN-20260825-017</x:v>
      </x:c>
      <x:c r="B20" s="23" t="str">
        <x:v>TC-P00-017</x:v>
      </x:c>
      <x:c r="C20" s="38" t="n">
        <x:v>46259</x:v>
      </x:c>
      <x:c r="D20" s="23" t="str">
        <x:v>Local WSL2 / Docker Desktop / PostgreSQL 16</x:v>
      </x:c>
      <x:c r="E20" s="23" t="str">
        <x:v>4ddd199</x:v>
      </x:c>
      <x:c r="F20" s="23" t="str">
        <x:v>Executed</x:v>
      </x:c>
      <x:c r="G20" s="23" t="str">
        <x:v>Passed</x:v>
      </x:c>
      <x:c r="H20" s="23" t="str">
        <x:v>Dashboard remained usable and showed Hybrid · mock fallback</x:v>
      </x:c>
      <x:c r="I20" s="23" t="str">
        <x:v>Codex local audit</x:v>
      </x:c>
      <x:c r="J20" s="23" t="str"/>
      <x:c r="K20" s="23" t="str">
        <x:v>No</x:v>
      </x:c>
      <x:c r="L20" s="23" t="str">
        <x:v>Evidence recorded in docs/phase-00-validation.md</x:v>
      </x:c>
    </x:row>
    <x:row r="21" ht="60" hidden="0" customHeight="1">
      <x:c r="A21" s="23" t="str">
        <x:v>RUN-20260825-018</x:v>
      </x:c>
      <x:c r="B21" s="23" t="str">
        <x:v>TC-P00-018</x:v>
      </x:c>
      <x:c r="C21" s="38" t="n">
        <x:v>46259</x:v>
      </x:c>
      <x:c r="D21" s="23" t="str">
        <x:v>Local WSL2 / Docker Desktop / PostgreSQL 16</x:v>
      </x:c>
      <x:c r="E21" s="23" t="str">
        <x:v>4ddd199</x:v>
      </x:c>
      <x:c r="F21" s="23" t="str">
        <x:v>Executed</x:v>
      </x:c>
      <x:c r="G21" s="23" t="str">
        <x:v>Passed</x:v>
      </x:c>
      <x:c r="H21" s="23" t="str">
        <x:v>Local and CI packaging passed</x:v>
      </x:c>
      <x:c r="I21" s="23" t="str">
        <x:v>Codex local audit</x:v>
      </x:c>
      <x:c r="J21" s="23" t="str"/>
      <x:c r="K21" s="23" t="str">
        <x:v>No</x:v>
      </x:c>
      <x:c r="L21" s="23" t="str">
        <x:v>Evidence recorded in docs/phase-00-validation.md</x:v>
      </x:c>
    </x:row>
    <x:row r="22" ht="60" hidden="0" customHeight="1">
      <x:c r="A22" s="23" t="str">
        <x:v>RUN-20260825-019</x:v>
      </x:c>
      <x:c r="B22" s="23" t="str">
        <x:v>TC-P00-019</x:v>
      </x:c>
      <x:c r="C22" s="38" t="n">
        <x:v>46259</x:v>
      </x:c>
      <x:c r="D22" s="23" t="str">
        <x:v>Local WSL2 / Docker Desktop / PostgreSQL 16</x:v>
      </x:c>
      <x:c r="E22" s="23" t="str">
        <x:v>4ddd199</x:v>
      </x:c>
      <x:c r="F22" s="23" t="str">
        <x:v>Executed</x:v>
      </x:c>
      <x:c r="G22" s="23" t="str">
        <x:v>Passed</x:v>
      </x:c>
      <x:c r="H22" s="23" t="str">
        <x:v>API docs route published</x:v>
      </x:c>
      <x:c r="I22" s="23" t="str">
        <x:v>Codex local audit</x:v>
      </x:c>
      <x:c r="J22" s="23" t="str"/>
      <x:c r="K22" s="23" t="str">
        <x:v>No</x:v>
      </x:c>
      <x:c r="L22" s="23" t="str">
        <x:v>Evidence recorded in docs/phase-00-validation.md</x:v>
      </x:c>
    </x:row>
    <x:row r="23" ht="96" hidden="0" customHeight="1">
      <x:c r="A23" s="24" t="str">
        <x:v>RUN-20260825-020</x:v>
      </x:c>
      <x:c r="B23" s="24" t="str">
        <x:v>TC-P00-020</x:v>
      </x:c>
      <x:c r="C23" s="39" t="n">
        <x:v>46259</x:v>
      </x:c>
      <x:c r="D23" s="24" t="str">
        <x:v>Local WSL2 / Docker Desktop / PostgreSQL 16</x:v>
      </x:c>
      <x:c r="E23" s="24" t="str">
        <x:v>4ddd199</x:v>
      </x:c>
      <x:c r="F23" s="24" t="str">
        <x:v>Executed</x:v>
      </x:c>
      <x:c r="G23" s="24" t="str">
        <x:v>Passed</x:v>
      </x:c>
      <x:c r="H23" s="24" t="str">
        <x:v>Log contained method, path, status, duration_ms and request_id</x:v>
      </x:c>
      <x:c r="I23" s="24" t="str">
        <x:v>Codex local audit</x:v>
      </x:c>
      <x:c r="J23" s="24" t="str"/>
      <x:c r="K23" s="24" t="str">
        <x:v>No</x:v>
      </x:c>
      <x:c r="L23" s="24" t="str">
        <x:v>Evidence recorded in docs/phase-00-validation.md</x:v>
      </x:c>
    </x:row>
    <x:row r="24" ht="54" customHeight="1">
      <x:c r="A24" s="41" t="str">
        <x:v>RUN-20260826-021</x:v>
      </x:c>
      <x:c r="B24" s="41" t="str">
        <x:v>TC-P01-001</x:v>
      </x:c>
      <x:c r="C24" s="42" t="n">
        <x:v>46260</x:v>
      </x:c>
      <x:c r="D24" s="41" t="str">
        <x:v>Local Windows / Docker Desktop / PostgreSQL 16</x:v>
      </x:c>
      <x:c r="E24" s="41" t="str">
        <x:v>a796a43</x:v>
      </x:c>
      <x:c r="F24" s="41" t="str">
        <x:v>Executed</x:v>
      </x:c>
      <x:c r="G24" s="41" t="str">
        <x:v>Passed</x:v>
      </x:c>
      <x:c r="H24" s="41" t="str">
        <x:v>Local run 2026-08-26</x:v>
      </x:c>
      <x:c r="I24" s="41" t="str">
        <x:v>Codex local audit</x:v>
      </x:c>
      <x:c r="J24" s="41"/>
      <x:c r="K24" s="41" t="str">
        <x:v>No</x:v>
      </x:c>
      <x:c r="L24" s="41" t="str">
        <x:v>Evidence recorded in docs/phase-01-plan.md and PROJECT_MANIFEST.md</x:v>
      </x:c>
    </x:row>
    <x:row r="25" ht="54" customHeight="1">
      <x:c r="A25" s="41" t="str">
        <x:v>RUN-20260826-022</x:v>
      </x:c>
      <x:c r="B25" s="41" t="str">
        <x:v>TC-P01-002</x:v>
      </x:c>
      <x:c r="C25" s="42" t="n">
        <x:v>46260</x:v>
      </x:c>
      <x:c r="D25" s="41" t="str">
        <x:v>Local Windows / Docker Desktop / PostgreSQL 16</x:v>
      </x:c>
      <x:c r="E25" s="41" t="str">
        <x:v>a796a43</x:v>
      </x:c>
      <x:c r="F25" s="41" t="str">
        <x:v>Executed</x:v>
      </x:c>
      <x:c r="G25" s="41" t="str">
        <x:v>Passed</x:v>
      </x:c>
      <x:c r="H25" s="41" t="str">
        <x:v>Local run 2026-08-26</x:v>
      </x:c>
      <x:c r="I25" s="41" t="str">
        <x:v>Codex local audit</x:v>
      </x:c>
      <x:c r="J25" s="41"/>
      <x:c r="K25" s="41" t="str">
        <x:v>No</x:v>
      </x:c>
      <x:c r="L25" s="41" t="str">
        <x:v>Evidence recorded in docs/phase-01-plan.md and PROJECT_MANIFEST.md</x:v>
      </x:c>
    </x:row>
    <x:row r="26" ht="54" customHeight="1">
      <x:c r="A26" s="41" t="str">
        <x:v>RUN-20260826-023</x:v>
      </x:c>
      <x:c r="B26" s="41" t="str">
        <x:v>TC-P01-003</x:v>
      </x:c>
      <x:c r="C26" s="42" t="n">
        <x:v>46260</x:v>
      </x:c>
      <x:c r="D26" s="41" t="str">
        <x:v>Local Windows / Docker Desktop / PostgreSQL 16</x:v>
      </x:c>
      <x:c r="E26" s="41" t="str">
        <x:v>a796a43</x:v>
      </x:c>
      <x:c r="F26" s="41" t="str">
        <x:v>Executed</x:v>
      </x:c>
      <x:c r="G26" s="41" t="str">
        <x:v>Passed</x:v>
      </x:c>
      <x:c r="H26" s="41" t="str">
        <x:v>Local run 2026-08-26</x:v>
      </x:c>
      <x:c r="I26" s="41" t="str">
        <x:v>Codex local audit</x:v>
      </x:c>
      <x:c r="J26" s="41"/>
      <x:c r="K26" s="41" t="str">
        <x:v>No</x:v>
      </x:c>
      <x:c r="L26" s="41" t="str">
        <x:v>Evidence recorded in docs/phase-01-plan.md and PROJECT_MANIFEST.md</x:v>
      </x:c>
    </x:row>
    <x:row r="27" ht="54" customHeight="1">
      <x:c r="A27" s="41" t="str">
        <x:v>RUN-20260826-024</x:v>
      </x:c>
      <x:c r="B27" s="41" t="str">
        <x:v>TC-P01-004</x:v>
      </x:c>
      <x:c r="C27" s="42" t="n">
        <x:v>46260</x:v>
      </x:c>
      <x:c r="D27" s="41" t="str">
        <x:v>Local Windows / Docker Desktop / PostgreSQL 16</x:v>
      </x:c>
      <x:c r="E27" s="41" t="str">
        <x:v>a796a43</x:v>
      </x:c>
      <x:c r="F27" s="41" t="str">
        <x:v>Executed</x:v>
      </x:c>
      <x:c r="G27" s="41" t="str">
        <x:v>Passed</x:v>
      </x:c>
      <x:c r="H27" s="41" t="str">
        <x:v>Local run 2026-08-26</x:v>
      </x:c>
      <x:c r="I27" s="41" t="str">
        <x:v>Codex local audit</x:v>
      </x:c>
      <x:c r="J27" s="41"/>
      <x:c r="K27" s="41" t="str">
        <x:v>No</x:v>
      </x:c>
      <x:c r="L27" s="41" t="str">
        <x:v>Evidence recorded in docs/phase-01-plan.md and PROJECT_MANIFEST.md</x:v>
      </x:c>
    </x:row>
    <x:row r="28" ht="54" customHeight="1">
      <x:c r="A28" s="41" t="str">
        <x:v>RUN-20260826-025</x:v>
      </x:c>
      <x:c r="B28" s="41" t="str">
        <x:v>TC-P01-005</x:v>
      </x:c>
      <x:c r="C28" s="42" t="n">
        <x:v>46260</x:v>
      </x:c>
      <x:c r="D28" s="41" t="str">
        <x:v>Local Windows / Docker Desktop / PostgreSQL 16</x:v>
      </x:c>
      <x:c r="E28" s="41" t="str">
        <x:v>a796a43</x:v>
      </x:c>
      <x:c r="F28" s="41" t="str">
        <x:v>Executed</x:v>
      </x:c>
      <x:c r="G28" s="41" t="str">
        <x:v>Passed</x:v>
      </x:c>
      <x:c r="H28" s="41" t="str">
        <x:v>Local run 2026-08-26</x:v>
      </x:c>
      <x:c r="I28" s="41" t="str">
        <x:v>Codex local audit</x:v>
      </x:c>
      <x:c r="J28" s="41"/>
      <x:c r="K28" s="41" t="str">
        <x:v>No</x:v>
      </x:c>
      <x:c r="L28" s="41" t="str">
        <x:v>Evidence recorded in docs/phase-01-plan.md and PROJECT_MANIFEST.md</x:v>
      </x:c>
    </x:row>
    <x:row r="29" ht="54" customHeight="1">
      <x:c r="A29" s="41" t="str">
        <x:v>RUN-20260826-026</x:v>
      </x:c>
      <x:c r="B29" s="41" t="str">
        <x:v>TC-P01-006</x:v>
      </x:c>
      <x:c r="C29" s="42" t="n">
        <x:v>46260</x:v>
      </x:c>
      <x:c r="D29" s="41" t="str">
        <x:v>Local Windows / Docker Desktop / PostgreSQL 16</x:v>
      </x:c>
      <x:c r="E29" s="41" t="str">
        <x:v>a796a43</x:v>
      </x:c>
      <x:c r="F29" s="41" t="str">
        <x:v>Executed</x:v>
      </x:c>
      <x:c r="G29" s="41" t="str">
        <x:v>Passed</x:v>
      </x:c>
      <x:c r="H29" s="41" t="str">
        <x:v>Local run 2026-08-26</x:v>
      </x:c>
      <x:c r="I29" s="41" t="str">
        <x:v>Codex local audit</x:v>
      </x:c>
      <x:c r="J29" s="41"/>
      <x:c r="K29" s="41" t="str">
        <x:v>No</x:v>
      </x:c>
      <x:c r="L29" s="41" t="str">
        <x:v>Evidence recorded in docs/phase-01-plan.md and PROJECT_MANIFEST.md</x:v>
      </x:c>
    </x:row>
    <x:row r="30" ht="54" customHeight="1">
      <x:c r="A30" s="41" t="str">
        <x:v>RUN-20260826-027</x:v>
      </x:c>
      <x:c r="B30" s="41" t="str">
        <x:v>TC-P01-007</x:v>
      </x:c>
      <x:c r="C30" s="42" t="n">
        <x:v>46260</x:v>
      </x:c>
      <x:c r="D30" s="41" t="str">
        <x:v>Local Windows / Docker Desktop / PostgreSQL 16</x:v>
      </x:c>
      <x:c r="E30" s="41" t="str">
        <x:v>a796a43</x:v>
      </x:c>
      <x:c r="F30" s="41" t="str">
        <x:v>Executed</x:v>
      </x:c>
      <x:c r="G30" s="41" t="str">
        <x:v>Passed</x:v>
      </x:c>
      <x:c r="H30" s="41" t="str">
        <x:v>Local run 2026-08-26</x:v>
      </x:c>
      <x:c r="I30" s="41" t="str">
        <x:v>Codex local audit</x:v>
      </x:c>
      <x:c r="J30" s="41"/>
      <x:c r="K30" s="41" t="str">
        <x:v>No</x:v>
      </x:c>
      <x:c r="L30" s="41" t="str">
        <x:v>Evidence recorded in docs/phase-01-plan.md and PROJECT_MANIFEST.md</x:v>
      </x:c>
    </x:row>
    <x:row r="31" ht="54" customHeight="1">
      <x:c r="A31" s="41" t="str">
        <x:v>RUN-20260826-028</x:v>
      </x:c>
      <x:c r="B31" s="41" t="str">
        <x:v>TC-P01-008</x:v>
      </x:c>
      <x:c r="C31" s="42" t="n">
        <x:v>46260</x:v>
      </x:c>
      <x:c r="D31" s="41" t="str">
        <x:v>Local Windows / Docker Desktop / PostgreSQL 16</x:v>
      </x:c>
      <x:c r="E31" s="41" t="str">
        <x:v>a796a43</x:v>
      </x:c>
      <x:c r="F31" s="41" t="str">
        <x:v>Executed</x:v>
      </x:c>
      <x:c r="G31" s="41" t="str">
        <x:v>Passed</x:v>
      </x:c>
      <x:c r="H31" s="41" t="str">
        <x:v>Local run 2026-08-26</x:v>
      </x:c>
      <x:c r="I31" s="41" t="str">
        <x:v>Codex local audit</x:v>
      </x:c>
      <x:c r="J31" s="41"/>
      <x:c r="K31" s="41" t="str">
        <x:v>No</x:v>
      </x:c>
      <x:c r="L31" s="41" t="str">
        <x:v>Evidence recorded in docs/phase-01-plan.md and PROJECT_MANIFEST.md</x:v>
      </x:c>
    </x:row>
    <x:row r="32" ht="54" customHeight="1">
      <x:c r="A32" s="41" t="str">
        <x:v>RUN-20260826-029</x:v>
      </x:c>
      <x:c r="B32" s="41" t="str">
        <x:v>TC-P01-009</x:v>
      </x:c>
      <x:c r="C32" s="42" t="n">
        <x:v>46260</x:v>
      </x:c>
      <x:c r="D32" s="41" t="str">
        <x:v>Local Windows / Docker Desktop / PostgreSQL 16</x:v>
      </x:c>
      <x:c r="E32" s="41" t="str">
        <x:v>a796a43</x:v>
      </x:c>
      <x:c r="F32" s="41" t="str">
        <x:v>Executed</x:v>
      </x:c>
      <x:c r="G32" s="41" t="str">
        <x:v>Passed</x:v>
      </x:c>
      <x:c r="H32" s="41" t="str">
        <x:v>Local run 2026-08-26</x:v>
      </x:c>
      <x:c r="I32" s="41" t="str">
        <x:v>Codex local audit</x:v>
      </x:c>
      <x:c r="J32" s="41"/>
      <x:c r="K32" s="41" t="str">
        <x:v>No</x:v>
      </x:c>
      <x:c r="L32" s="41" t="str">
        <x:v>Evidence recorded in docs/phase-01-plan.md and PROJECT_MANIFEST.md</x:v>
      </x:c>
    </x:row>
    <x:row r="33" ht="54" customHeight="1">
      <x:c r="A33" s="41" t="str">
        <x:v>RUN-20260826-030</x:v>
      </x:c>
      <x:c r="B33" s="41" t="str">
        <x:v>TC-P01-010</x:v>
      </x:c>
      <x:c r="C33" s="42" t="n">
        <x:v>46260</x:v>
      </x:c>
      <x:c r="D33" s="41" t="str">
        <x:v>Local Windows / Docker Desktop / PostgreSQL 16</x:v>
      </x:c>
      <x:c r="E33" s="41" t="str">
        <x:v>a796a43</x:v>
      </x:c>
      <x:c r="F33" s="41" t="str">
        <x:v>Executed</x:v>
      </x:c>
      <x:c r="G33" s="41" t="str">
        <x:v>Passed</x:v>
      </x:c>
      <x:c r="H33" s="41" t="str">
        <x:v>Local run 2026-08-26</x:v>
      </x:c>
      <x:c r="I33" s="41" t="str">
        <x:v>Codex local audit</x:v>
      </x:c>
      <x:c r="J33" s="41"/>
      <x:c r="K33" s="41" t="str">
        <x:v>No</x:v>
      </x:c>
      <x:c r="L33" s="41" t="str">
        <x:v>Evidence recorded in docs/phase-01-plan.md and PROJECT_MANIFEST.md</x:v>
      </x:c>
    </x:row>
    <x:row r="34" ht="54" customHeight="1">
      <x:c r="A34" s="41" t="str">
        <x:v>RUN-20260826-031</x:v>
      </x:c>
      <x:c r="B34" s="41" t="str">
        <x:v>TC-P01-011</x:v>
      </x:c>
      <x:c r="C34" s="42" t="n">
        <x:v>46260</x:v>
      </x:c>
      <x:c r="D34" s="41" t="str">
        <x:v>Local Windows / Docker Desktop / PostgreSQL 16</x:v>
      </x:c>
      <x:c r="E34" s="41" t="str">
        <x:v>a796a43</x:v>
      </x:c>
      <x:c r="F34" s="41" t="str">
        <x:v>Executed</x:v>
      </x:c>
      <x:c r="G34" s="41" t="str">
        <x:v>Passed</x:v>
      </x:c>
      <x:c r="H34" s="41" t="str">
        <x:v>Local run 2026-08-26</x:v>
      </x:c>
      <x:c r="I34" s="41" t="str">
        <x:v>Codex local audit</x:v>
      </x:c>
      <x:c r="J34" s="41"/>
      <x:c r="K34" s="41" t="str">
        <x:v>No</x:v>
      </x:c>
      <x:c r="L34" s="41" t="str">
        <x:v>Evidence recorded in docs/phase-01-plan.md and PROJECT_MANIFEST.md</x:v>
      </x:c>
    </x:row>
    <x:row r="35" ht="54" customHeight="1">
      <x:c r="A35" s="41" t="str">
        <x:v>RUN-20260826-032</x:v>
      </x:c>
      <x:c r="B35" s="41" t="str">
        <x:v>TC-P01-012</x:v>
      </x:c>
      <x:c r="C35" s="42" t="n">
        <x:v>46260</x:v>
      </x:c>
      <x:c r="D35" s="41" t="str">
        <x:v>Local Windows / Docker Desktop / PostgreSQL 16</x:v>
      </x:c>
      <x:c r="E35" s="41" t="str">
        <x:v>a796a43</x:v>
      </x:c>
      <x:c r="F35" s="41" t="str">
        <x:v>Executed</x:v>
      </x:c>
      <x:c r="G35" s="41" t="str">
        <x:v>Passed</x:v>
      </x:c>
      <x:c r="H35" s="41" t="str">
        <x:v>Local run 2026-08-26</x:v>
      </x:c>
      <x:c r="I35" s="41" t="str">
        <x:v>Codex local audit</x:v>
      </x:c>
      <x:c r="J35" s="41"/>
      <x:c r="K35" s="41" t="str">
        <x:v>No</x:v>
      </x:c>
      <x:c r="L35" s="41" t="str">
        <x:v>Evidence recorded in docs/phase-01-plan.md and PROJECT_MANIFEST.md</x:v>
      </x:c>
    </x:row>
    <x:row r="36" ht="54" customHeight="1">
      <x:c r="A36" s="41" t="str">
        <x:v>RUN-20260826-033</x:v>
      </x:c>
      <x:c r="B36" s="41" t="str">
        <x:v>TC-P01-013</x:v>
      </x:c>
      <x:c r="C36" s="42" t="n">
        <x:v>46260</x:v>
      </x:c>
      <x:c r="D36" s="41" t="str">
        <x:v>Local Windows / Docker Desktop / PostgreSQL 16</x:v>
      </x:c>
      <x:c r="E36" s="41" t="str">
        <x:v>a796a43</x:v>
      </x:c>
      <x:c r="F36" s="41" t="str">
        <x:v>Executed</x:v>
      </x:c>
      <x:c r="G36" s="41" t="str">
        <x:v>Passed</x:v>
      </x:c>
      <x:c r="H36" s="41" t="str">
        <x:v>Local run 2026-08-26</x:v>
      </x:c>
      <x:c r="I36" s="41" t="str">
        <x:v>Codex local audit</x:v>
      </x:c>
      <x:c r="J36" s="41"/>
      <x:c r="K36" s="41" t="str">
        <x:v>No</x:v>
      </x:c>
      <x:c r="L36" s="41" t="str">
        <x:v>Evidence recorded in docs/phase-01-plan.md and PROJECT_MANIFEST.md</x:v>
      </x:c>
    </x:row>
    <x:row r="37" ht="54" customHeight="1">
      <x:c r="A37" s="41" t="str">
        <x:v>RUN-20260826-034</x:v>
      </x:c>
      <x:c r="B37" s="41" t="str">
        <x:v>TC-P01-014</x:v>
      </x:c>
      <x:c r="C37" s="42" t="n">
        <x:v>46260</x:v>
      </x:c>
      <x:c r="D37" s="41" t="str">
        <x:v>Local Windows / Docker Desktop / PostgreSQL 16</x:v>
      </x:c>
      <x:c r="E37" s="41" t="str">
        <x:v>a796a43</x:v>
      </x:c>
      <x:c r="F37" s="41" t="str">
        <x:v>Executed</x:v>
      </x:c>
      <x:c r="G37" s="41" t="str">
        <x:v>Passed</x:v>
      </x:c>
      <x:c r="H37" s="41" t="str">
        <x:v>Local run 2026-08-26</x:v>
      </x:c>
      <x:c r="I37" s="41" t="str">
        <x:v>Codex local audit</x:v>
      </x:c>
      <x:c r="J37" s="41"/>
      <x:c r="K37" s="41" t="str">
        <x:v>No</x:v>
      </x:c>
      <x:c r="L37" s="41" t="str">
        <x:v>Evidence recorded in docs/phase-01-plan.md and PROJECT_MANIFEST.md</x:v>
      </x:c>
    </x:row>
    <x:row r="38" ht="54" customHeight="1">
      <x:c r="A38" s="41" t="str">
        <x:v>RUN-20260826-035</x:v>
      </x:c>
      <x:c r="B38" s="41" t="str">
        <x:v>TC-P01-015</x:v>
      </x:c>
      <x:c r="C38" s="42" t="n">
        <x:v>46260</x:v>
      </x:c>
      <x:c r="D38" s="41" t="str">
        <x:v>Local Windows / Docker Desktop / PostgreSQL 16</x:v>
      </x:c>
      <x:c r="E38" s="41" t="str">
        <x:v>a796a43</x:v>
      </x:c>
      <x:c r="F38" s="41" t="str">
        <x:v>Executed</x:v>
      </x:c>
      <x:c r="G38" s="41" t="str">
        <x:v>Passed</x:v>
      </x:c>
      <x:c r="H38" s="41" t="str">
        <x:v>Local production refusal verified</x:v>
      </x:c>
      <x:c r="I38" s="41" t="str">
        <x:v>Codex local audit</x:v>
      </x:c>
      <x:c r="J38" s="41"/>
      <x:c r="K38" s="41" t="str">
        <x:v>No</x:v>
      </x:c>
      <x:c r="L38" s="41" t="str">
        <x:v>Evidence recorded in docs/phase-01-plan.md and PROJECT_MANIFEST.md</x:v>
      </x:c>
    </x:row>
    <x:row r="39" ht="54" customHeight="1">
      <x:c r="A39" s="41" t="str">
        <x:v>RUN-20260826-036</x:v>
      </x:c>
      <x:c r="B39" s="41" t="str">
        <x:v>TC-P01-016</x:v>
      </x:c>
      <x:c r="C39" s="42" t="n">
        <x:v>46260</x:v>
      </x:c>
      <x:c r="D39" s="41" t="str">
        <x:v>Local Windows / Docker Desktop / PostgreSQL 16</x:v>
      </x:c>
      <x:c r="E39" s="41" t="str">
        <x:v>a796a43</x:v>
      </x:c>
      <x:c r="F39" s="41" t="str">
        <x:v>Executed</x:v>
      </x:c>
      <x:c r="G39" s="41" t="str">
        <x:v>Passed</x:v>
      </x:c>
      <x:c r="H39" s="41" t="str">
        <x:v>Local run 2026-08-26</x:v>
      </x:c>
      <x:c r="I39" s="41" t="str">
        <x:v>Codex local audit</x:v>
      </x:c>
      <x:c r="J39" s="41"/>
      <x:c r="K39" s="41" t="str">
        <x:v>No</x:v>
      </x:c>
      <x:c r="L39" s="41" t="str">
        <x:v>Evidence recorded in docs/phase-01-plan.md and PROJECT_MANIFEST.md</x:v>
      </x:c>
    </x:row>
    <x:row r="40" ht="54" customHeight="1">
      <x:c r="A40" s="41" t="str">
        <x:v>RUN-20260826-037</x:v>
      </x:c>
      <x:c r="B40" s="41" t="str">
        <x:v>TC-P01-017</x:v>
      </x:c>
      <x:c r="C40" s="42" t="n">
        <x:v>46260</x:v>
      </x:c>
      <x:c r="D40" s="41" t="str">
        <x:v>Local Windows / Docker Desktop / PostgreSQL 16</x:v>
      </x:c>
      <x:c r="E40" s="41" t="str">
        <x:v>a796a43</x:v>
      </x:c>
      <x:c r="F40" s="41" t="str">
        <x:v>Executed</x:v>
      </x:c>
      <x:c r="G40" s="41" t="str">
        <x:v>Passed</x:v>
      </x:c>
      <x:c r="H40" s="41" t="str">
        <x:v>Count remained 90 after repeated login test</x:v>
      </x:c>
      <x:c r="I40" s="41" t="str">
        <x:v>Codex local audit</x:v>
      </x:c>
      <x:c r="J40" s="41"/>
      <x:c r="K40" s="41" t="str">
        <x:v>No</x:v>
      </x:c>
      <x:c r="L40" s="41" t="str">
        <x:v>Evidence recorded in docs/phase-01-plan.md and PROJECT_MANIFEST.md</x:v>
      </x:c>
    </x:row>
    <x:row r="41" ht="54" customHeight="1">
      <x:c r="A41" s="41" t="str">
        <x:v>RUN-20260826-038</x:v>
      </x:c>
      <x:c r="B41" s="41" t="str">
        <x:v>TC-P01-018</x:v>
      </x:c>
      <x:c r="C41" s="42" t="n">
        <x:v>46260</x:v>
      </x:c>
      <x:c r="D41" s="41" t="str">
        <x:v>Local Windows / Docker Desktop / PostgreSQL 16</x:v>
      </x:c>
      <x:c r="E41" s="41" t="str">
        <x:v>a796a43</x:v>
      </x:c>
      <x:c r="F41" s="41" t="str">
        <x:v>Executed</x:v>
      </x:c>
      <x:c r="G41" s="41" t="str">
        <x:v>Passed</x:v>
      </x:c>
      <x:c r="H41" s="41" t="str">
        <x:v>Migration upgrade/downgrade/replay passed</x:v>
      </x:c>
      <x:c r="I41" s="41" t="str">
        <x:v>Codex local audit</x:v>
      </x:c>
      <x:c r="J41" s="41"/>
      <x:c r="K41" s="41" t="str">
        <x:v>No</x:v>
      </x:c>
      <x:c r="L41" s="41" t="str">
        <x:v>Evidence recorded in docs/phase-01-plan.md and PROJECT_MANIFEST.md</x:v>
      </x:c>
    </x:row>
    <x:row r="42" ht="54" customHeight="1">
      <x:c r="A42" s="41" t="str">
        <x:v>RUN-20260826-039</x:v>
      </x:c>
      <x:c r="B42" s="41" t="str">
        <x:v>TC-P01-019</x:v>
      </x:c>
      <x:c r="C42" s="42" t="n">
        <x:v>46260</x:v>
      </x:c>
      <x:c r="D42" s="41" t="str">
        <x:v>Local Windows / Docker Desktop / PostgreSQL 16</x:v>
      </x:c>
      <x:c r="E42" s="41" t="str">
        <x:v>a796a43</x:v>
      </x:c>
      <x:c r="F42" s="41" t="str">
        <x:v>Executed</x:v>
      </x:c>
      <x:c r="G42" s="41" t="str">
        <x:v>Passed</x:v>
      </x:c>
      <x:c r="H42" s="41" t="str">
        <x:v>23 passed; 90.46% coverage</x:v>
      </x:c>
      <x:c r="I42" s="41" t="str">
        <x:v>Codex local audit</x:v>
      </x:c>
      <x:c r="J42" s="41"/>
      <x:c r="K42" s="41" t="str">
        <x:v>No</x:v>
      </x:c>
      <x:c r="L42" s="41" t="str">
        <x:v>Evidence recorded in docs/phase-01-plan.md and PROJECT_MANIFEST.md</x:v>
      </x:c>
    </x:row>
    <x:row r="43" ht="54" customHeight="1">
      <x:c r="A43" s="41" t="str">
        <x:v>RUN-20260826-040</x:v>
      </x:c>
      <x:c r="B43" s="41" t="str">
        <x:v>TC-P01-020</x:v>
      </x:c>
      <x:c r="C43" s="42" t="n">
        <x:v>46260</x:v>
      </x:c>
      <x:c r="D43" s="41" t="str">
        <x:v>Local Windows / Docker Desktop / PostgreSQL 16</x:v>
      </x:c>
      <x:c r="E43" s="41" t="str">
        <x:v>a796a43</x:v>
      </x:c>
      <x:c r="F43" s="41" t="str">
        <x:v>Executed</x:v>
      </x:c>
      <x:c r="G43" s="41" t="str">
        <x:v>Passed</x:v>
      </x:c>
      <x:c r="H43" s="41" t="str">
        <x:v>Authenticated desktop audit passed</x:v>
      </x:c>
      <x:c r="I43" s="41" t="str">
        <x:v>Codex local audit</x:v>
      </x:c>
      <x:c r="J43" s="41"/>
      <x:c r="K43" s="41" t="str">
        <x:v>No</x:v>
      </x:c>
      <x:c r="L43" s="41" t="str">
        <x:v>Evidence recorded in docs/phase-01-plan.md and PROJECT_MANIFEST.md</x:v>
      </x:c>
    </x:row>
    <x:row r="44" ht="54" customHeight="1">
      <x:c r="A44" s="41" t="str">
        <x:v>RUN-20260826-041</x:v>
      </x:c>
      <x:c r="B44" s="41" t="str">
        <x:v>TC-P01-021</x:v>
      </x:c>
      <x:c r="C44" s="42" t="n">
        <x:v>46260</x:v>
      </x:c>
      <x:c r="D44" s="41" t="str">
        <x:v>Frontend-only mock / Vite 7.0.7</x:v>
      </x:c>
      <x:c r="E44" s="41" t="str">
        <x:v>7043f0f</x:v>
      </x:c>
      <x:c r="F44" s="41" t="str">
        <x:v>Executed</x:v>
      </x:c>
      <x:c r="G44" s="41" t="str">
        <x:v>Passed</x:v>
      </x:c>
      <x:c r="H44" s="41" t="str">
        <x:v>Frontend commit 7043f0f validated 2026-08-27</x:v>
      </x:c>
      <x:c r="I44" s="41" t="str">
        <x:v>Codex local audit</x:v>
      </x:c>
      <x:c r="J44" s="41"/>
      <x:c r="K44" s="41" t="str">
        <x:v>No</x:v>
      </x:c>
      <x:c r="L44" s="41" t="str">
        <x:v>Evidence recorded in docs/phase-01-plan.md and PROJECT_MANIFEST.md</x:v>
      </x:c>
    </x:row>
    <x:row r="45" ht="54" customHeight="1">
      <x:c r="A45" s="41" t="str">
        <x:v>RUN-20260826-042</x:v>
      </x:c>
      <x:c r="B45" s="41" t="str">
        <x:v>TC-P01-022</x:v>
      </x:c>
      <x:c r="C45" s="42" t="n">
        <x:v>46260</x:v>
      </x:c>
      <x:c r="D45" s="41" t="str">
        <x:v>Local Windows / Docker Desktop / PostgreSQL 16</x:v>
      </x:c>
      <x:c r="E45" s="41" t="str">
        <x:v>a796a43</x:v>
      </x:c>
      <x:c r="F45" s="41" t="str">
        <x:v>Blocked</x:v>
      </x:c>
      <x:c r="G45" s="41" t="str">
        <x:v>Blocked</x:v>
      </x:c>
      <x:c r="H45" s="41" t="str">
        <x:v>XLSX export implementation and build passed</x:v>
      </x:c>
      <x:c r="I45" s="41" t="str">
        <x:v>Codex local audit</x:v>
      </x:c>
      <x:c r="J45" s="41"/>
      <x:c r="K45" s="41" t="str">
        <x:v>Required</x:v>
      </x:c>
      <x:c r="L45" s="41" t="str">
        <x:v>Evidence recorded in docs/phase-01-plan.md and PROJECT_MANIFEST.md</x:v>
      </x:c>
    </x:row>
    <x:row r="46" ht="60" customHeight="1">
      <x:c r="A46" s="41" t="str">
        <x:v>RUN-20260827-001</x:v>
      </x:c>
      <x:c r="B46" s="41" t="str">
        <x:v>TC-P01-023</x:v>
      </x:c>
      <x:c r="C46" s="42" t="n">
        <x:v>46261</x:v>
      </x:c>
      <x:c r="D46" s="41" t="str">
        <x:v>Windows / Docker Desktop / PostgreSQL 16 / Vite 7</x:v>
      </x:c>
      <x:c r="E46" s="41" t="str">
        <x:v>working tree after acb887f</x:v>
      </x:c>
      <x:c r="F46" s="41" t="str">
        <x:v>Executed</x:v>
      </x:c>
      <x:c r="G46" s="41" t="str">
        <x:v>Passed</x:v>
      </x:c>
      <x:c r="H46" s="41" t="str">
        <x:v>Isolated PostgreSQL 16 validation 2026-08-27</x:v>
      </x:c>
      <x:c r="I46" s="41" t="str">
        <x:v>Codex local release-readiness audit</x:v>
      </x:c>
      <x:c r="J46" s="41"/>
      <x:c r="K46" s="41" t="str">
        <x:v>No</x:v>
      </x:c>
      <x:c r="L46" s="41" t="str">
        <x:v>Isolated PostgreSQL 16 validation 2026-08-27</x:v>
      </x:c>
    </x:row>
    <x:row r="47" ht="60" customHeight="1">
      <x:c r="A47" s="41" t="str">
        <x:v>RUN-20260827-002</x:v>
      </x:c>
      <x:c r="B47" s="41" t="str">
        <x:v>TC-P01-024</x:v>
      </x:c>
      <x:c r="C47" s="42" t="n">
        <x:v>46261</x:v>
      </x:c>
      <x:c r="D47" s="41" t="str">
        <x:v>Windows / Docker Desktop / PostgreSQL 16 / Vite 7</x:v>
      </x:c>
      <x:c r="E47" s="41" t="str">
        <x:v>working tree after acb887f</x:v>
      </x:c>
      <x:c r="F47" s="41" t="str">
        <x:v>Executed</x:v>
      </x:c>
      <x:c r="G47" s="41" t="str">
        <x:v>Passed</x:v>
      </x:c>
      <x:c r="H47" s="41" t="str">
        <x:v>3 release-readiness tests passed</x:v>
      </x:c>
      <x:c r="I47" s="41" t="str">
        <x:v>Codex local release-readiness audit</x:v>
      </x:c>
      <x:c r="J47" s="41"/>
      <x:c r="K47" s="41" t="str">
        <x:v>No</x:v>
      </x:c>
      <x:c r="L47" s="41" t="str">
        <x:v>3 release-readiness tests passed</x:v>
      </x:c>
    </x:row>
    <x:row r="48" ht="60" customHeight="1">
      <x:c r="A48" s="41" t="str">
        <x:v>RUN-20260827-003</x:v>
      </x:c>
      <x:c r="B48" s="41" t="str">
        <x:v>TC-P01-025</x:v>
      </x:c>
      <x:c r="C48" s="42" t="n">
        <x:v>46261</x:v>
      </x:c>
      <x:c r="D48" s="41" t="str">
        <x:v>Windows / Docker Desktop / PostgreSQL 16 / Vite 7</x:v>
      </x:c>
      <x:c r="E48" s="41" t="str">
        <x:v>working tree after acb887f</x:v>
      </x:c>
      <x:c r="F48" s="41" t="str">
        <x:v>Executed</x:v>
      </x:c>
      <x:c r="G48" s="41" t="str">
        <x:v>Passed</x:v>
      </x:c>
      <x:c r="H48" s="41" t="str">
        <x:v>Isolated database; test state restored</x:v>
      </x:c>
      <x:c r="I48" s="41" t="str">
        <x:v>Codex local release-readiness audit</x:v>
      </x:c>
      <x:c r="J48" s="41"/>
      <x:c r="K48" s="41" t="str">
        <x:v>No</x:v>
      </x:c>
      <x:c r="L48" s="41" t="str">
        <x:v>Isolated database; test state restored</x:v>
      </x:c>
    </x:row>
    <x:row r="49" ht="60" customHeight="1">
      <x:c r="A49" s="41" t="str">
        <x:v>RUN-20260827-004</x:v>
      </x:c>
      <x:c r="B49" s="41" t="str">
        <x:v>TC-P01-026</x:v>
      </x:c>
      <x:c r="C49" s="42" t="n">
        <x:v>46261</x:v>
      </x:c>
      <x:c r="D49" s="41" t="str">
        <x:v>Windows / Docker Desktop / PostgreSQL 16 / Vite 7</x:v>
      </x:c>
      <x:c r="E49" s="41" t="str">
        <x:v>working tree after acb887f</x:v>
      </x:c>
      <x:c r="F49" s="41" t="str">
        <x:v>Executed</x:v>
      </x:c>
      <x:c r="G49" s="41" t="str">
        <x:v>Passed</x:v>
      </x:c>
      <x:c r="H49" s="41" t="str">
        <x:v>27-test suite; cleanup data removed</x:v>
      </x:c>
      <x:c r="I49" s="41" t="str">
        <x:v>Codex local release-readiness audit</x:v>
      </x:c>
      <x:c r="J49" s="41"/>
      <x:c r="K49" s="41" t="str">
        <x:v>No</x:v>
      </x:c>
      <x:c r="L49" s="41" t="str">
        <x:v>27-test suite; cleanup data removed</x:v>
      </x:c>
    </x:row>
    <x:row r="50" ht="60" customHeight="1">
      <x:c r="A50" s="41" t="str">
        <x:v>RUN-20260827-005</x:v>
      </x:c>
      <x:c r="B50" s="41" t="str">
        <x:v>TC-P01-027</x:v>
      </x:c>
      <x:c r="C50" s="42" t="n">
        <x:v>46261</x:v>
      </x:c>
      <x:c r="D50" s="41" t="str">
        <x:v>Windows / Docker Desktop / PostgreSQL 16 / Vite 7</x:v>
      </x:c>
      <x:c r="E50" s="41" t="str">
        <x:v>working tree after acb887f</x:v>
      </x:c>
      <x:c r="F50" s="41" t="str">
        <x:v>Executed</x:v>
      </x:c>
      <x:c r="G50" s="41" t="str">
        <x:v>Passed</x:v>
      </x:c>
      <x:c r="H50" s="41" t="str">
        <x:v>Restore DB and dump removed after comparison</x:v>
      </x:c>
      <x:c r="I50" s="41" t="str">
        <x:v>Codex local release-readiness audit</x:v>
      </x:c>
      <x:c r="J50" s="41"/>
      <x:c r="K50" s="41" t="str">
        <x:v>No</x:v>
      </x:c>
      <x:c r="L50" s="41" t="str">
        <x:v>Restore DB and dump removed after comparison</x:v>
      </x:c>
    </x:row>
    <x:row r="51" ht="60" customHeight="1">
      <x:c r="A51" s="41" t="str">
        <x:v>RUN-20260827-006</x:v>
      </x:c>
      <x:c r="B51" s="41" t="str">
        <x:v>TC-P01-028</x:v>
      </x:c>
      <x:c r="C51" s="42" t="n">
        <x:v>46261</x:v>
      </x:c>
      <x:c r="D51" s="41" t="str">
        <x:v>Windows / Docker Desktop / PostgreSQL 16 / Vite 7</x:v>
      </x:c>
      <x:c r="E51" s="41" t="str">
        <x:v>working tree after acb887f</x:v>
      </x:c>
      <x:c r="F51" s="41" t="str">
        <x:v>Executed</x:v>
      </x:c>
      <x:c r="G51" s="41" t="str">
        <x:v>Passed</x:v>
      </x:c>
      <x:c r="H51" s="41" t="str">
        <x:v>Required rebuilding stale local image; disposable resources removed</x:v>
      </x:c>
      <x:c r="I51" s="41" t="str">
        <x:v>Codex local release-readiness audit</x:v>
      </x:c>
      <x:c r="J51" s="41"/>
      <x:c r="K51" s="41" t="str">
        <x:v>No</x:v>
      </x:c>
      <x:c r="L51" s="41" t="str">
        <x:v>Required rebuilding stale local image; disposable resources removed</x:v>
      </x:c>
    </x:row>
    <x:row r="52" ht="60" customHeight="1">
      <x:c r="A52" s="41" t="str">
        <x:v>RUN-20260827-007</x:v>
      </x:c>
      <x:c r="B52" s="41" t="str">
        <x:v>TC-P01-029</x:v>
      </x:c>
      <x:c r="C52" s="42" t="n">
        <x:v>46261</x:v>
      </x:c>
      <x:c r="D52" s="41" t="str">
        <x:v>Windows / Docker Desktop / PostgreSQL 16 / Vite 7</x:v>
      </x:c>
      <x:c r="E52" s="41" t="str">
        <x:v>working tree after acb887f</x:v>
      </x:c>
      <x:c r="F52" s="41" t="str">
        <x:v>Executed</x:v>
      </x:c>
      <x:c r="G52" s="41" t="str">
        <x:v>Passed</x:v>
      </x:c>
      <x:c r="H52" s="41" t="str">
        <x:v>1,269 LOC scanned; zero findings</x:v>
      </x:c>
      <x:c r="I52" s="41" t="str">
        <x:v>Codex local release-readiness audit</x:v>
      </x:c>
      <x:c r="J52" s="41"/>
      <x:c r="K52" s="41" t="str">
        <x:v>No</x:v>
      </x:c>
      <x:c r="L52" s="41" t="str">
        <x:v>1,269 LOC scanned; zero findings</x:v>
      </x:c>
    </x:row>
    <x:row r="53" ht="60" customHeight="1">
      <x:c r="A53" s="41" t="str">
        <x:v>RUN-20260827-008</x:v>
      </x:c>
      <x:c r="B53" s="41" t="str">
        <x:v>TC-P01-030</x:v>
      </x:c>
      <x:c r="C53" s="42" t="n">
        <x:v>46261</x:v>
      </x:c>
      <x:c r="D53" s="41" t="str">
        <x:v>Windows / Docker Desktop / PostgreSQL 16 / Vite 7</x:v>
      </x:c>
      <x:c r="E53" s="41" t="str">
        <x:v>working tree after acb887f</x:v>
      </x:c>
      <x:c r="F53" s="41" t="str">
        <x:v>Executed</x:v>
      </x:c>
      <x:c r="G53" s="41" t="str">
        <x:v>Failed</x:v>
      </x:c>
      <x:c r="H53" s="41" t="str">
        <x:v>Runtime findings include python-multipart 0.0.20 and Starlette 0.47.3; dev tooling also reported</x:v>
      </x:c>
      <x:c r="I53" s="41" t="str">
        <x:v>Codex local release-readiness audit</x:v>
      </x:c>
      <x:c r="J53" s="41" t="str">
        <x:v>Dependency remediation required</x:v>
      </x:c>
      <x:c r="K53" s="41" t="str">
        <x:v>Required</x:v>
      </x:c>
      <x:c r="L53" s="41" t="str">
        <x:v>Runtime findings include python-multipart 0.0.20 and Starlette 0.47.3; dev tooling also reported</x:v>
      </x:c>
    </x:row>
    <x:row r="54" ht="60" customHeight="1">
      <x:c r="A54" s="41" t="str">
        <x:v>RUN-20260827-009</x:v>
      </x:c>
      <x:c r="B54" s="41" t="str">
        <x:v>TC-P01-031</x:v>
      </x:c>
      <x:c r="C54" s="42" t="n">
        <x:v>46261</x:v>
      </x:c>
      <x:c r="D54" s="41" t="str">
        <x:v>Windows / Docker Desktop / PostgreSQL 16 / Vite 7</x:v>
      </x:c>
      <x:c r="E54" s="41" t="str">
        <x:v>working tree after acb887f</x:v>
      </x:c>
      <x:c r="F54" s="41" t="str">
        <x:v>Executed</x:v>
      </x:c>
      <x:c r="G54" s="41" t="str">
        <x:v>Failed</x:v>
      </x:c>
      <x:c r="H54" s="41" t="str">
        <x:v>9 advisories: 5 high and 4 moderate; includes xlsx, Vite, nanoid and postcss</x:v>
      </x:c>
      <x:c r="I54" s="41" t="str">
        <x:v>Codex local release-readiness audit</x:v>
      </x:c>
      <x:c r="J54" s="41" t="str">
        <x:v>Dependency remediation required</x:v>
      </x:c>
      <x:c r="K54" s="41" t="str">
        <x:v>Required</x:v>
      </x:c>
      <x:c r="L54" s="41" t="str">
        <x:v>9 advisories: 5 high and 4 moderate; includes xlsx, Vite, nanoid and postcss</x:v>
      </x:c>
    </x:row>
    <x:row r="55" ht="60" customHeight="1">
      <x:c r="A55" s="41" t="str">
        <x:v>RUN-20260827-010</x:v>
      </x:c>
      <x:c r="B55" s="41" t="str">
        <x:v>TC-P01-032</x:v>
      </x:c>
      <x:c r="C55" s="42" t="n">
        <x:v>46261</x:v>
      </x:c>
      <x:c r="D55" s="41" t="str">
        <x:v>Windows / Docker Desktop / PostgreSQL 16 / Vite 7</x:v>
      </x:c>
      <x:c r="E55" s="41" t="str">
        <x:v>working tree after acb887f</x:v>
      </x:c>
      <x:c r="F55" s="41" t="str">
        <x:v>Executed</x:v>
      </x:c>
      <x:c r="G55" s="41" t="str">
        <x:v>Passed</x:v>
      </x:c>
      <x:c r="H55" s="41" t="str">
        <x:v>Vite build completed 2026-08-27</x:v>
      </x:c>
      <x:c r="I55" s="41" t="str">
        <x:v>Codex local release-readiness audit</x:v>
      </x:c>
      <x:c r="J55" s="41"/>
      <x:c r="K55" s="41" t="str">
        <x:v>No</x:v>
      </x:c>
      <x:c r="L55" s="41" t="str">
        <x:v>Vite build completed 2026-08-27</x:v>
      </x:c>
    </x:row>
    <x:row r="56" ht="60" customHeight="1">
      <x:c r="A56" s="41" t="str">
        <x:v>RUN-20260827-011</x:v>
      </x:c>
      <x:c r="B56" s="41" t="str">
        <x:v>TC-P01-033</x:v>
      </x:c>
      <x:c r="C56" s="42" t="n">
        <x:v>46261</x:v>
      </x:c>
      <x:c r="D56" s="41" t="str">
        <x:v>Windows / Docker Desktop / PostgreSQL 16 / Vite 7</x:v>
      </x:c>
      <x:c r="E56" s="41" t="str">
        <x:v>working tree after acb887f</x:v>
      </x:c>
      <x:c r="F56" s="41" t="str">
        <x:v>Executed</x:v>
      </x:c>
      <x:c r="G56" s="41" t="str">
        <x:v>Passed</x:v>
      </x:c>
      <x:c r="H56" s="41" t="str">
        <x:v>Frontend-only port 5175 was not used</x:v>
      </x:c>
      <x:c r="I56" s="41" t="str">
        <x:v>Codex local release-readiness audit</x:v>
      </x:c>
      <x:c r="J56" s="41"/>
      <x:c r="K56" s="41" t="str">
        <x:v>No</x:v>
      </x:c>
      <x:c r="L56" s="41" t="str">
        <x:v>Frontend-only port 5175 was not used</x:v>
      </x:c>
    </x:row>
    <x:row r="57" ht="60" customHeight="1">
      <x:c r="A57" s="41" t="str">
        <x:v>RUN-20260827-012</x:v>
      </x:c>
      <x:c r="B57" s="41" t="str">
        <x:v>TC-P01-034</x:v>
      </x:c>
      <x:c r="C57" s="42" t="n">
        <x:v>46261</x:v>
      </x:c>
      <x:c r="D57" s="41" t="str">
        <x:v>Windows / Docker Desktop / PostgreSQL 16 / Vite 7</x:v>
      </x:c>
      <x:c r="E57" s="41" t="str">
        <x:v>working tree after acb887f</x:v>
      </x:c>
      <x:c r="F57" s="41" t="str">
        <x:v>Blocked</x:v>
      </x:c>
      <x:c r="G57" s="41" t="str">
        <x:v>Blocked</x:v>
      </x:c>
      <x:c r="H57" s="41" t="str">
        <x:v>Browser automation runtime failed to load; requires rerun in an interactive browser</x:v>
      </x:c>
      <x:c r="I57" s="41" t="str">
        <x:v>Codex local release-readiness audit</x:v>
      </x:c>
      <x:c r="J57" s="41"/>
      <x:c r="K57" s="41" t="str">
        <x:v>No</x:v>
      </x:c>
      <x:c r="L57" s="41" t="str">
        <x:v>Browser automation runtime failed to load; requires rerun in an interactive browser</x:v>
      </x:c>
    </x:row>
    <x:row r="58" ht="60" customHeight="1">
      <x:c r="A58" s="41" t="str">
        <x:v>RUN-20260827-013</x:v>
      </x:c>
      <x:c r="B58" s="41" t="str">
        <x:v>TC-P01-035</x:v>
      </x:c>
      <x:c r="C58" s="42" t="n">
        <x:v>46261</x:v>
      </x:c>
      <x:c r="D58" s="41" t="str">
        <x:v>Windows / Docker Desktop / PostgreSQL 16 / Vite 7</x:v>
      </x:c>
      <x:c r="E58" s="41" t="str">
        <x:v>working tree after acb887f</x:v>
      </x:c>
      <x:c r="F58" s="41" t="str">
        <x:v>Blocked</x:v>
      </x:c>
      <x:c r="G58" s="41" t="str">
        <x:v>Blocked</x:v>
      </x:c>
      <x:c r="H58" s="41" t="str">
        <x:v>Only local Chromium surface is available; Firefox and Safari were not executed</x:v>
      </x:c>
      <x:c r="I58" s="41" t="str">
        <x:v>Codex local release-readiness audit</x:v>
      </x:c>
      <x:c r="J58" s="41"/>
      <x:c r="K58" s="41" t="str">
        <x:v>No</x:v>
      </x:c>
      <x:c r="L58" s="41" t="str">
        <x:v>Only local Chromium surface is available; Firefox and Safari were not executed</x:v>
      </x:c>
    </x:row>
    <x:row r="59" ht="60" customHeight="1">
      <x:c r="A59" s="41" t="str">
        <x:v>RUN-20260827-014</x:v>
      </x:c>
      <x:c r="B59" s="41" t="str">
        <x:v>TC-P01-036</x:v>
      </x:c>
      <x:c r="C59" s="42" t="n">
        <x:v>46261</x:v>
      </x:c>
      <x:c r="D59" s="41" t="str">
        <x:v>Windows / Docker Desktop / PostgreSQL 16 / Vite 7</x:v>
      </x:c>
      <x:c r="E59" s="41" t="str">
        <x:v>working tree after acb887f</x:v>
      </x:c>
      <x:c r="F59" s="41" t="str">
        <x:v>Blocked</x:v>
      </x:c>
      <x:c r="G59" s="41" t="str">
        <x:v>Blocked</x:v>
      </x:c>
      <x:c r="H59" s="41" t="str">
        <x:v>Implementation and build pass, but an actual browser download was not captured</x:v>
      </x:c>
      <x:c r="I59" s="41" t="str">
        <x:v>Codex local release-readiness audit</x:v>
      </x:c>
      <x:c r="J59" s="41"/>
      <x:c r="K59" s="41" t="str">
        <x:v>No</x:v>
      </x:c>
      <x:c r="L59" s="41" t="str">
        <x:v>Implementation and build pass, but an actual browser download was not captured</x:v>
      </x:c>
    </x:row>
    <x:row r="60">
      <x:c r="A60" t="str">
        <x:v>RUN-20260828-001</x:v>
      </x:c>
      <x:c r="B60" t="str">
        <x:v>TC-P01-022</x:v>
      </x:c>
      <x:c r="C60" s="57" t="n">
        <x:v>46262</x:v>
      </x:c>
      <x:c r="D60" t="str">
        <x:v>Windows / Docker Desktop / PostgreSQL 16 / Vite 7.3.6 / Chrome</x:v>
      </x:c>
      <x:c r="E60" t="str">
        <x:v>44e876e</x:v>
      </x:c>
      <x:c r="F60" t="str">
        <x:v>Executed</x:v>
      </x:c>
      <x:c r="G60" t="str">
        <x:v>Passed</x:v>
      </x:c>
      <x:c r="H60" t="str">
        <x:v>Finance filter downloaded a valid XLSX: Summary + Transactions, 2 rows, PHP 113,850</x:v>
      </x:c>
      <x:c r="I60" t="str">
        <x:v>Codex final Phase 01 validation</x:v>
      </x:c>
      <x:c r="J60"/>
    </x:row>
    <x:row r="61">
      <x:c r="A61" t="str">
        <x:v>RUN-20260828-002</x:v>
      </x:c>
      <x:c r="B61" t="str">
        <x:v>TC-P01-030</x:v>
      </x:c>
      <x:c r="C61" s="57" t="n">
        <x:v>46262</x:v>
      </x:c>
      <x:c r="D61" t="str">
        <x:v>Windows / Docker Desktop / PostgreSQL 16 / Vite 7.3.6 / Chrome</x:v>
      </x:c>
      <x:c r="E61" t="str">
        <x:v>44e876e</x:v>
      </x:c>
      <x:c r="F61" t="str">
        <x:v>Executed</x:v>
      </x:c>
      <x:c r="G61" t="str">
        <x:v>Passed</x:v>
      </x:c>
      <x:c r="H61" t="str">
        <x:v>pip-audit: no known vulnerabilities after dependency remediation</x:v>
      </x:c>
      <x:c r="I61" t="str">
        <x:v>Codex final Phase 01 validation</x:v>
      </x:c>
      <x:c r="J61"/>
    </x:row>
    <x:row r="62">
      <x:c r="A62" t="str">
        <x:v>RUN-20260828-003</x:v>
      </x:c>
      <x:c r="B62" t="str">
        <x:v>TC-P01-031</x:v>
      </x:c>
      <x:c r="C62" s="57" t="n">
        <x:v>46262</x:v>
      </x:c>
      <x:c r="D62" t="str">
        <x:v>Windows / Docker Desktop / PostgreSQL 16 / Vite 7.3.6 / Chrome</x:v>
      </x:c>
      <x:c r="E62" t="str">
        <x:v>44e876e</x:v>
      </x:c>
      <x:c r="F62" t="str">
        <x:v>Executed</x:v>
      </x:c>
      <x:c r="G62" t="str">
        <x:v>Passed</x:v>
      </x:c>
      <x:c r="H62" t="str">
        <x:v>pnpm audit: no known vulnerabilities; official SheetJS 0.20.3 package vendored</x:v>
      </x:c>
      <x:c r="I62" t="str">
        <x:v>Codex final Phase 01 validation</x:v>
      </x:c>
      <x:c r="J62"/>
    </x:row>
    <x:row r="63">
      <x:c r="A63" t="str">
        <x:v>RUN-20260828-004</x:v>
      </x:c>
      <x:c r="B63" t="str">
        <x:v>TC-P01-034</x:v>
      </x:c>
      <x:c r="C63" s="57" t="n">
        <x:v>46262</x:v>
      </x:c>
      <x:c r="D63" t="str">
        <x:v>Windows / Docker Desktop / PostgreSQL 16 / Vite 7.3.6 / Chrome</x:v>
      </x:c>
      <x:c r="E63" t="str">
        <x:v>44e876e</x:v>
      </x:c>
      <x:c r="F63" t="str">
        <x:v>Executed</x:v>
      </x:c>
      <x:c r="G63" t="str">
        <x:v>Passed</x:v>
      </x:c>
      <x:c r="H63" t="str">
        <x:v>In-app browser desktop/mobile admin walkthrough passed naming, labels, modal containment, and overflow checks</x:v>
      </x:c>
      <x:c r="I63" t="str">
        <x:v>Codex final Phase 01 validation</x:v>
      </x:c>
      <x:c r="J63"/>
    </x:row>
    <x:row r="64">
      <x:c r="A64" t="str">
        <x:v>RUN-20260828-005</x:v>
      </x:c>
      <x:c r="B64" t="str">
        <x:v>TC-P01-035</x:v>
      </x:c>
      <x:c r="C64" s="57" t="n">
        <x:v>46262</x:v>
      </x:c>
      <x:c r="D64" t="str">
        <x:v>Windows / Docker Desktop / PostgreSQL 16 / Vite 7.3.6 / Chrome</x:v>
      </x:c>
      <x:c r="E64" t="str">
        <x:v>44e876e</x:v>
      </x:c>
      <x:c r="F64" t="str">
        <x:v>Executed</x:v>
      </x:c>
      <x:c r="G64" t="str">
        <x:v>Blocked</x:v>
      </x:c>
      <x:c r="H64" t="str">
        <x:v>Desktop Chrome and in-app Chromium passed; Firefox and Safari unavailable on this Windows host</x:v>
      </x:c>
      <x:c r="I64" t="str">
        <x:v>Codex final Phase 01 validation</x:v>
      </x:c>
      <x:c r="J64" t="str">
        <x:v>Accepted limitation; execute before production promotion</x:v>
      </x:c>
    </x:row>
    <x:row r="65">
      <x:c r="A65" t="str">
        <x:v>RUN-20260828-006</x:v>
      </x:c>
      <x:c r="B65" t="str">
        <x:v>TC-P01-036</x:v>
      </x:c>
      <x:c r="C65" s="57" t="n">
        <x:v>46262</x:v>
      </x:c>
      <x:c r="D65" t="str">
        <x:v>Windows / Docker Desktop / PostgreSQL 16 / Vite 7.3.6 / Chrome</x:v>
      </x:c>
      <x:c r="E65" t="str">
        <x:v>44e876e</x:v>
      </x:c>
      <x:c r="F65" t="str">
        <x:v>Executed</x:v>
      </x:c>
      <x:c r="G65" t="str">
        <x:v>Passed</x:v>
      </x:c>
      <x:c r="H65" t="str">
        <x:v>Downloaded workbook reopened successfully; filters, totals, sheets, and formula-error scan passed</x:v>
      </x:c>
      <x:c r="I65" t="str">
        <x:v>Codex final Phase 01 validation</x:v>
      </x:c>
      <x:c r="J65"/>
    </x:row>
  </x:sheetData>
  <x:mergeCells>
    <x:mergeCell ref="A1:L1"/>
    <x:mergeCell ref="A2:L2"/>
  </x:mergeCells>
  <x:conditionalFormatting sqref="G4:G500">
    <x:cfRule type="containsText" dxfId="28" priority="1" operator="containsText" text="Passed"/>
    <x:cfRule type="containsText" dxfId="29" priority="2" operator="containsText" text="Validated"/>
    <x:cfRule type="containsText" dxfId="30" priority="3" operator="containsText" text="Accepted"/>
    <x:cfRule type="containsText" dxfId="31" priority="4" operator="containsText" text="Failed"/>
    <x:cfRule type="containsText" dxfId="32" priority="5" operator="containsText" text="Blocked"/>
    <x:cfRule type="containsText" dxfId="33" priority="6" operator="containsText" text="Not Run"/>
    <x:cfRule type="containsText" dxfId="34" priority="7" operator="containsText" text="Pending"/>
  </x:conditionalFormatting>
  <x:dataValidations count="9">
    <x:dataValidation type="list" sqref="F4:F500">
      <x:formula1>"Pending,Executed,Blocked"</x:formula1>
    </x:dataValidation>
    <x:dataValidation type="list" sqref="G4:G500">
      <x:formula1>"Not Run,Passed,Failed,Blocked,N/A"</x:formula1>
    </x:dataValidation>
    <x:dataValidation type="list" sqref="K4:K500">
      <x:formula1>"No,Required,Completed"</x:formula1>
    </x:dataValidation>
    <x:dataValidation type="list" sqref="F24:F45">
      <x:formula1>"Not Run,Executed,Blocked"</x:formula1>
    </x:dataValidation>
    <x:dataValidation type="list" sqref="G24:G45">
      <x:formula1>"Not Run,Passed,Failed,Blocked,N/A"</x:formula1>
    </x:dataValidation>
    <x:dataValidation type="list" sqref="K24:K45">
      <x:formula1>"No,Required,Completed"</x:formula1>
    </x:dataValidation>
    <x:dataValidation type="list" sqref="F46:F59">
      <x:formula1>"Not Run,Executed,Blocked"</x:formula1>
    </x:dataValidation>
    <x:dataValidation type="list" sqref="G46:G59">
      <x:formula1>"Not Run,Passed,Failed,Blocked,N/A"</x:formula1>
    </x:dataValidation>
    <x:dataValidation type="list" sqref="K46:K59">
      <x:formula1>"No,Required,Completed"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eec06c02e749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48" hidden="0" customWidth="1"/>
    <x:col min="5" max="5" width="44" hidden="0" customWidth="1"/>
    <x:col min="6" max="6" width="14" hidden="0" customWidth="1"/>
    <x:col min="7" max="7" width="14" hidden="0" customWidth="1"/>
    <x:col min="8" max="8" width="46" hidden="0" customWidth="1"/>
    <x:col min="9" max="9" width="18" hidden="0" customWidth="1"/>
    <x:col min="10" max="10" width="18" hidden="0" customWidth="1"/>
  </x:cols>
  <x:sheetData>
    <x:row r="1" ht="21.600000381469727" hidden="0" customHeight="1">
      <x:c r="A1" s="3" t="str">
        <x:v>Acceptance Matrix</x:v>
      </x:c>
    </x:row>
    <x:row r="2" ht="26.399999618530273" hidden="0" customHeight="1">
      <x:c r="A2" s="6" t="str">
        <x:v>Phase gates mapped to test IDs and objective evidence. A gate remains pending until every required linked test passes.</x:v>
      </x:c>
    </x:row>
    <x:row r="3" ht="52.79999923706055" hidden="0" customHeight="1">
      <x:c r="A3" s="13" t="str">
        <x:v>Gate ID</x:v>
      </x:c>
      <x:c r="B3" s="36" t="str">
        <x:v>Phase</x:v>
      </x:c>
      <x:c r="C3" s="36" t="str">
        <x:v>Gate</x:v>
      </x:c>
      <x:c r="D3" s="36" t="str">
        <x:v>Acceptance Requirement</x:v>
      </x:c>
      <x:c r="E3" s="36" t="str">
        <x:v>Linked Tests</x:v>
      </x:c>
      <x:c r="F3" s="36" t="str">
        <x:v>Required</x:v>
      </x:c>
      <x:c r="G3" s="36" t="str">
        <x:v>Result</x:v>
      </x:c>
      <x:c r="H3" s="36" t="str">
        <x:v>Evidence / Limitation</x:v>
      </x:c>
      <x:c r="I3" s="36" t="str">
        <x:v>Accepted Date</x:v>
      </x:c>
      <x:c r="J3" s="14" t="str">
        <x:v>Accepted By</x:v>
      </x:c>
    </x:row>
    <x:row r="4" ht="108" hidden="0" customHeight="1">
      <x:c r="A4" s="22" t="str">
        <x:v>AG-P00-01</x:v>
      </x:c>
      <x:c r="B4" s="22" t="str">
        <x:v>P00</x:v>
      </x:c>
      <x:c r="C4" s="22" t="str">
        <x:v>API foundation</x:v>
      </x:c>
      <x:c r="D4" s="22" t="str">
        <x:v>Liveness, readiness, discovery, versioned system route and docs are available</x:v>
      </x:c>
      <x:c r="E4" s="22" t="str">
        <x:v>TC-P00-001, TC-P00-002, TC-P00-003, TC-P00-004, TC-P00-019</x:v>
      </x:c>
      <x:c r="F4" s="22" t="str">
        <x:v>Yes</x:v>
      </x:c>
      <x:c r="G4" s="22" t="str">
        <x:v>Accepted</x:v>
      </x:c>
      <x:c r="H4" s="22" t="str">
        <x:v>Validated locally and in CI</x:v>
      </x:c>
      <x:c r="I4" s="37" t="str">
        <x:v>2026-08-25</x:v>
      </x:c>
      <x:c r="J4" s="22" t="str">
        <x:v>Paolo Ylag</x:v>
      </x:c>
    </x:row>
    <x:row r="5" ht="108" hidden="0" customHeight="1">
      <x:c r="A5" s="23" t="str">
        <x:v>AG-P00-02</x:v>
      </x:c>
      <x:c r="B5" s="23" t="str">
        <x:v>P00</x:v>
      </x:c>
      <x:c r="C5" s="23" t="str">
        <x:v>Database foundation</x:v>
      </x:c>
      <x:c r="D5" s="23" t="str">
        <x:v>PostgreSQL, migration, seed and Asia/Manila session operate repeatably</x:v>
      </x:c>
      <x:c r="E5" s="23" t="str">
        <x:v>TC-P00-008, TC-P00-009, TC-P00-010, TC-P00-011, TC-P00-012</x:v>
      </x:c>
      <x:c r="F5" s="23" t="str">
        <x:v>Yes</x:v>
      </x:c>
      <x:c r="G5" s="23" t="str">
        <x:v>Accepted</x:v>
      </x:c>
      <x:c r="H5" s="23" t="str">
        <x:v>Validated against local PostgreSQL 16</x:v>
      </x:c>
      <x:c r="I5" s="38" t="str">
        <x:v>2026-08-25</x:v>
      </x:c>
      <x:c r="J5" s="23" t="str">
        <x:v>Paolo Ylag</x:v>
      </x:c>
    </x:row>
    <x:row r="6" ht="96" hidden="0" customHeight="1">
      <x:c r="A6" s="23" t="str">
        <x:v>AG-P00-03</x:v>
      </x:c>
      <x:c r="B6" s="23" t="str">
        <x:v>P00</x:v>
      </x:c>
      <x:c r="C6" s="23" t="str">
        <x:v>API standards</x:v>
      </x:c>
      <x:c r="D6" s="23" t="str">
        <x:v>Problem responses, request IDs, CORS and logging conventions are established</x:v>
      </x:c>
      <x:c r="E6" s="23" t="str">
        <x:v>TC-P00-005, TC-P00-006, TC-P00-007, TC-P00-020</x:v>
      </x:c>
      <x:c r="F6" s="23" t="str">
        <x:v>Yes</x:v>
      </x:c>
      <x:c r="G6" s="23" t="str">
        <x:v>Accepted</x:v>
      </x:c>
      <x:c r="H6" s="23" t="str">
        <x:v>Request propagation, CORS and structured log fields verified</x:v>
      </x:c>
      <x:c r="I6" s="38" t="str">
        <x:v>2026-08-25</x:v>
      </x:c>
      <x:c r="J6" s="23" t="str">
        <x:v>Paolo Ylag</x:v>
      </x:c>
    </x:row>
    <x:row r="7" ht="72" hidden="0" customHeight="1">
      <x:c r="A7" s="23" t="str">
        <x:v>AG-P00-04</x:v>
      </x:c>
      <x:c r="B7" s="23" t="str">
        <x:v>P00</x:v>
      </x:c>
      <x:c r="C7" s="23" t="str">
        <x:v>Automated quality</x:v>
      </x:c>
      <x:c r="D7" s="23" t="str">
        <x:v>Lint, tests, coverage and production build pass</x:v>
      </x:c>
      <x:c r="E7" s="23" t="str">
        <x:v>TC-P00-013, TC-P00-014, TC-P00-015</x:v>
      </x:c>
      <x:c r="F7" s="23" t="str">
        <x:v>Yes</x:v>
      </x:c>
      <x:c r="G7" s="23" t="str">
        <x:v>Accepted</x:v>
      </x:c>
      <x:c r="H7" s="23" t="str">
        <x:v>6 tests passed; 89% coverage; Vite build passed</x:v>
      </x:c>
      <x:c r="I7" s="38" t="str">
        <x:v>2026-08-25</x:v>
      </x:c>
      <x:c r="J7" s="23" t="str">
        <x:v>Paolo Ylag</x:v>
      </x:c>
    </x:row>
    <x:row r="8" ht="96" hidden="0" customHeight="1">
      <x:c r="A8" s="23" t="str">
        <x:v>AG-P00-05</x:v>
      </x:c>
      <x:c r="B8" s="23" t="str">
        <x:v>P00</x:v>
      </x:c>
      <x:c r="C8" s="23" t="str">
        <x:v>Delivery packaging</x:v>
      </x:c>
      <x:c r="D8" s="23" t="str">
        <x:v>Docker image builds and both Compose services become healthy</x:v>
      </x:c>
      <x:c r="E8" s="23" t="str">
        <x:v>TC-P00-008, TC-P00-018</x:v>
      </x:c>
      <x:c r="F8" s="23" t="str">
        <x:v>Yes</x:v>
      </x:c>
      <x:c r="G8" s="23" t="str">
        <x:v>Accepted</x:v>
      </x:c>
      <x:c r="H8" s="23" t="str">
        <x:v>Local Docker and GitHub package job passed</x:v>
      </x:c>
      <x:c r="I8" s="38" t="str">
        <x:v>2026-08-25</x:v>
      </x:c>
      <x:c r="J8" s="23" t="str">
        <x:v>Paolo Ylag</x:v>
      </x:c>
    </x:row>
    <x:row r="9" ht="96" hidden="0" customHeight="1">
      <x:c r="A9" s="24" t="str">
        <x:v>AG-P00-06</x:v>
      </x:c>
      <x:c r="B9" s="24" t="str">
        <x:v>P00</x:v>
      </x:c>
      <x:c r="C9" s="24" t="str">
        <x:v>Continuously runnable prototype</x:v>
      </x:c>
      <x:c r="D9" s="24" t="str">
        <x:v>Hybrid frontend connects to API and falls back safely when API is unavailable</x:v>
      </x:c>
      <x:c r="E9" s="24" t="str">
        <x:v>TC-P00-016, TC-P00-017</x:v>
      </x:c>
      <x:c r="F9" s="24" t="str">
        <x:v>Yes</x:v>
      </x:c>
      <x:c r="G9" s="24" t="str">
        <x:v>Accepted</x:v>
      </x:c>
      <x:c r="H9" s="24" t="str">
        <x:v>API connected and Hybrid · mock fallback states both verified</x:v>
      </x:c>
      <x:c r="I9" s="39" t="str">
        <x:v>2026-08-25</x:v>
      </x:c>
      <x:c r="J9" s="24" t="str">
        <x:v>Paolo Ylag</x:v>
      </x:c>
    </x:row>
    <x:row r="10" ht="54" customHeight="1">
      <x:c r="A10" s="41" t="str">
        <x:v>AG-P01-01</x:v>
      </x:c>
      <x:c r="B10" s="41" t="str">
        <x:v>P01</x:v>
      </x:c>
      <x:c r="C10" s="41" t="str">
        <x:v>Identity persistence</x:v>
      </x:c>
      <x:c r="D10" s="41" t="str">
        <x:v>Identity records and deterministic seed migrate repeatably</x:v>
      </x:c>
      <x:c r="E10" s="41" t="str">
        <x:v>TC-P01-002, TC-P01-018</x:v>
      </x:c>
      <x:c r="F10" s="41" t="str">
        <x:v>Yes</x:v>
      </x:c>
      <x:c r="G10" s="41" t="str">
        <x:v>Accepted</x:v>
      </x:c>
      <x:c r="H10" s="41" t="str">
        <x:v>Identity migrations and deterministic seed passed</x:v>
      </x:c>
      <x:c r="I10" s="42" t="n">
        <x:v>46260</x:v>
      </x:c>
      <x:c r="J10" s="41" t="str">
        <x:v>Paolo Ylag</x:v>
      </x:c>
    </x:row>
    <x:row r="11" ht="54" customHeight="1">
      <x:c r="A11" s="41" t="str">
        <x:v>AG-P01-02</x:v>
      </x:c>
      <x:c r="B11" s="41" t="str">
        <x:v>P01</x:v>
      </x:c>
      <x:c r="C11" s="41" t="str">
        <x:v>Authentication and sessions</x:v>
      </x:c>
      <x:c r="D11" s="41" t="str">
        <x:v>Local login, CSRF, logout, idle expiry and revocation are enforced</x:v>
      </x:c>
      <x:c r="E11" s="41" t="str">
        <x:v>TC-P01-001, TC-P01-003, TC-P01-004, TC-P01-007, TC-P01-010, TC-P01-011</x:v>
      </x:c>
      <x:c r="F11" s="41" t="str">
        <x:v>Yes</x:v>
      </x:c>
      <x:c r="G11" s="41" t="str">
        <x:v>Accepted</x:v>
      </x:c>
      <x:c r="H11" s="41" t="str">
        <x:v>Authentication and session security tests passed</x:v>
      </x:c>
      <x:c r="I11" s="42" t="n">
        <x:v>46260</x:v>
      </x:c>
      <x:c r="J11" s="41" t="str">
        <x:v>Paolo Ylag</x:v>
      </x:c>
    </x:row>
    <x:row r="12" ht="54" customHeight="1">
      <x:c r="A12" s="41" t="str">
        <x:v>AG-P01-03</x:v>
      </x:c>
      <x:c r="B12" s="41" t="str">
        <x:v>P01</x:v>
      </x:c>
      <x:c r="C12" s="41" t="str">
        <x:v>RBAC boundaries</x:v>
      </x:c>
      <x:c r="D12" s="41" t="str">
        <x:v>Role grants, explicit denies and audited assignments are authoritative</x:v>
      </x:c>
      <x:c r="E12" s="41" t="str">
        <x:v>TC-P01-005, TC-P01-008, TC-P01-009</x:v>
      </x:c>
      <x:c r="F12" s="41" t="str">
        <x:v>Yes</x:v>
      </x:c>
      <x:c r="G12" s="41" t="str">
        <x:v>Accepted</x:v>
      </x:c>
      <x:c r="H12" s="41" t="str">
        <x:v>Permission boundaries and deny precedence passed</x:v>
      </x:c>
      <x:c r="I12" s="42" t="n">
        <x:v>46260</x:v>
      </x:c>
      <x:c r="J12" s="41" t="str">
        <x:v>Paolo Ylag</x:v>
      </x:c>
    </x:row>
    <x:row r="13" ht="54" customHeight="1">
      <x:c r="A13" s="41" t="str">
        <x:v>AG-P01-04</x:v>
      </x:c>
      <x:c r="B13" s="41" t="str">
        <x:v>P01</x:v>
      </x:c>
      <x:c r="C13" s="41" t="str">
        <x:v>Administration and associations</x:v>
      </x:c>
      <x:c r="D13" s="41" t="str">
        <x:v>Users, departments, roles, permissions and manager links are safely administered</x:v>
      </x:c>
      <x:c r="E13" s="41" t="str">
        <x:v>TC-P01-006, TC-P01-012, TC-P01-013</x:v>
      </x:c>
      <x:c r="F13" s="41" t="str">
        <x:v>Yes</x:v>
      </x:c>
      <x:c r="G13" s="41" t="str">
        <x:v>Accepted</x:v>
      </x:c>
      <x:c r="H13" s="41" t="str">
        <x:v>CRUD safeguards, audit records and cycle rejection passed</x:v>
      </x:c>
      <x:c r="I13" s="42" t="n">
        <x:v>46260</x:v>
      </x:c>
      <x:c r="J13" s="41" t="str">
        <x:v>Paolo Ylag</x:v>
      </x:c>
    </x:row>
    <x:row r="14" ht="54" customHeight="1">
      <x:c r="A14" s="41" t="str">
        <x:v>AG-P01-05</x:v>
      </x:c>
      <x:c r="B14" s="41" t="str">
        <x:v>P01</x:v>
      </x:c>
      <x:c r="C14" s="41" t="str">
        <x:v>Session hygiene</x:v>
      </x:c>
      <x:c r="D14" s="41" t="str">
        <x:v>Tests do not accumulate sessions and retained cleanup cannot reach production</x:v>
      </x:c>
      <x:c r="E14" s="41" t="str">
        <x:v>TC-P01-014, TC-P01-015, TC-P01-016, TC-P01-017</x:v>
      </x:c>
      <x:c r="F14" s="41" t="str">
        <x:v>Yes</x:v>
      </x:c>
      <x:c r="G14" s="41" t="str">
        <x:v>Accepted</x:v>
      </x:c>
      <x:c r="H14" s="41" t="str">
        <x:v>Retention, teardown, disablement and production refusal passed</x:v>
      </x:c>
      <x:c r="I14" s="42" t="n">
        <x:v>46260</x:v>
      </x:c>
      <x:c r="J14" s="41" t="str">
        <x:v>Paolo Ylag</x:v>
      </x:c>
    </x:row>
    <x:row r="15" ht="54" customHeight="1">
      <x:c r="A15" s="41" t="str">
        <x:v>AG-P01-06</x:v>
      </x:c>
      <x:c r="B15" s="41" t="str">
        <x:v>P01</x:v>
      </x:c>
      <x:c r="C15" s="41" t="str">
        <x:v>Administration frontend</x:v>
      </x:c>
      <x:c r="D15" s="41" t="str">
        <x:v>Identity pages use uniform lists, menus, modals and responsive containment</x:v>
      </x:c>
      <x:c r="E15" s="41" t="str">
        <x:v>TC-P01-020</x:v>
      </x:c>
      <x:c r="F15" s="41" t="str">
        <x:v>Yes</x:v>
      </x:c>
      <x:c r="G15" s="41" t="str">
        <x:v>Accepted</x:v>
      </x:c>
      <x:c r="H15" s="41" t="str">
        <x:v>Authenticated administration walkthrough passed</x:v>
      </x:c>
      <x:c r="I15" s="42" t="n">
        <x:v>46260</x:v>
      </x:c>
      <x:c r="J15" s="41" t="str">
        <x:v>Paolo Ylag</x:v>
      </x:c>
    </x:row>
    <x:row r="16" ht="54" customHeight="1">
      <x:c r="A16" s="41" t="str">
        <x:v>AG-P01-07</x:v>
      </x:c>
      <x:c r="B16" s="41" t="str">
        <x:v>P01</x:v>
      </x:c>
      <x:c r="C16" s="41" t="str">
        <x:v>Standalone frontend</x:v>
      </x:c>
      <x:c r="D16" s="41" t="str">
        <x:v>Frontend-only mock mode remains runnable and report export builds</x:v>
      </x:c>
      <x:c r="E16" s="41" t="str">
        <x:v>TC-P01-021, TC-P01-022</x:v>
      </x:c>
      <x:c r="F16" s="41" t="str">
        <x:v>Yes</x:v>
      </x:c>
      <x:c r="G16" s="41" t="str">
        <x:v>Accepted</x:v>
      </x:c>
      <x:c r="H16" s="41" t="str">
        <x:v>Standalone mock mode and real filtered Excel export passed</x:v>
      </x:c>
      <x:c r="I16" s="42" t="n">
        <x:v>46262</x:v>
      </x:c>
      <x:c r="J16" s="41" t="str">
        <x:v>Paolo Ylag</x:v>
      </x:c>
    </x:row>
    <x:row r="17" ht="54" customHeight="1">
      <x:c r="A17" s="41" t="str">
        <x:v>AG-P01-08</x:v>
      </x:c>
      <x:c r="B17" s="41" t="str">
        <x:v>P01</x:v>
      </x:c>
      <x:c r="C17" s="41" t="str">
        <x:v>Automated quality and release</x:v>
      </x:c>
      <x:c r="D17" s="41" t="str">
        <x:v>Lint, coverage, migrations and reviewed release package pass</x:v>
      </x:c>
      <x:c r="E17" s="41" t="str">
        <x:v>TC-P01-018, TC-P01-019</x:v>
      </x:c>
      <x:c r="F17" s="41" t="str">
        <x:v>Yes</x:v>
      </x:c>
      <x:c r="G17" s="41" t="str">
        <x:v>Accepted</x:v>
      </x:c>
      <x:c r="H17" s="41" t="str">
        <x:v>28 tests, 90.59% coverage, clean dependency audits, build, package, and local browser checks passed</x:v>
      </x:c>
      <x:c r="I17" s="42" t="n">
        <x:v>46262</x:v>
      </x:c>
      <x:c r="J17" s="41" t="str">
        <x:v>Paolo Ylag</x:v>
      </x:c>
    </x:row>
  </x:sheetData>
  <x:mergeCells>
    <x:mergeCell ref="A1:J1"/>
    <x:mergeCell ref="A2:J2"/>
  </x:mergeCells>
  <x:conditionalFormatting sqref="G4:G200">
    <x:cfRule type="containsText" dxfId="35" priority="1" operator="containsText" text="Passed"/>
    <x:cfRule type="containsText" dxfId="36" priority="2" operator="containsText" text="Validated"/>
    <x:cfRule type="containsText" dxfId="37" priority="3" operator="containsText" text="Accepted"/>
    <x:cfRule type="containsText" dxfId="38" priority="4" operator="containsText" text="Failed"/>
    <x:cfRule type="containsText" dxfId="39" priority="5" operator="containsText" text="Blocked"/>
    <x:cfRule type="containsText" dxfId="40" priority="6" operator="containsText" text="Not Run"/>
    <x:cfRule type="containsText" dxfId="41" priority="7" operator="containsText" text="Pending"/>
  </x:conditionalFormatting>
  <x:dataValidations count="3">
    <x:dataValidation type="list" sqref="G4:G200">
      <x:formula1>"Pending,Accepted,Rejected,Blocked"</x:formula1>
    </x:dataValidation>
    <x:dataValidation type="list" sqref="F10:F17">
      <x:formula1>"Yes,No"</x:formula1>
    </x:dataValidation>
    <x:dataValidation type="list" sqref="G10:G17">
      <x:formula1>"Pending,Accepted,Rejected,Blocked"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7c30519f9943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24" hidden="0" customWidth="1"/>
    <x:col min="5" max="5" width="40" hidden="0" customWidth="1"/>
    <x:col min="6" max="6" width="42" hidden="0" customWidth="1"/>
  </x:cols>
  <x:sheetData>
    <x:row r="1" ht="21.600000381469727" hidden="0" customHeight="1">
      <x:c r="A1" s="3" t="str">
        <x:v>Workbook Maintenance Guide</x:v>
      </x:c>
    </x:row>
    <x:row r="2" ht="26.399999618530273" hidden="0" customHeight="1">
      <x:c r="A2" s="6" t="str">
        <x:v>Use this workbook as the QA system of record for development phases and repeatable acceptance decisions.</x:v>
      </x:c>
    </x:row>
    <x:row r="3" ht="26.399999618530273" hidden="0" customHeight="1">
      <x:c r="A3" s="13" t="str">
        <x:v>Step</x:v>
      </x:c>
      <x:c r="B3" s="36" t="str">
        <x:v>When</x:v>
      </x:c>
      <x:c r="C3" s="36" t="str">
        <x:v>Action</x:v>
      </x:c>
      <x:c r="D3" s="36" t="str">
        <x:v>Sheet</x:v>
      </x:c>
      <x:c r="E3" s="36" t="str">
        <x:v>Required Fields</x:v>
      </x:c>
      <x:c r="F3" s="14" t="str">
        <x:v>Rule</x:v>
      </x:c>
    </x:row>
    <x:row r="4" ht="60" hidden="0" customHeight="1">
      <x:c r="A4" s="22" t="n">
        <x:v>1</x:v>
      </x:c>
      <x:c r="B4" s="22" t="str">
        <x:v>A work item starts</x:v>
      </x:c>
      <x:c r="C4" s="22" t="str">
        <x:v>Add or update its development row</x:v>
      </x:c>
      <x:c r="D4" s="22" t="str">
        <x:v>Development Log</x:v>
      </x:c>
      <x:c r="E4" s="22" t="str">
        <x:v>Phase, work item, status, branch, owner</x:v>
      </x:c>
      <x:c r="F4" s="22" t="str">
        <x:v>Do not mark Complete without evidence</x:v>
      </x:c>
    </x:row>
    <x:row r="5" ht="72" hidden="0" customHeight="1">
      <x:c r="A5" s="23" t="n">
        <x:v>2</x:v>
      </x:c>
      <x:c r="B5" s="23" t="str">
        <x:v>A requirement is testable</x:v>
      </x:c>
      <x:c r="C5" s="23" t="str">
        <x:v>Create a stable test ID</x:v>
      </x:c>
      <x:c r="D5" s="23" t="str">
        <x:v>Test Cases</x:v>
      </x:c>
      <x:c r="E5" s="23" t="str">
        <x:v>Steps, expected result, priority, acceptance flag</x:v>
      </x:c>
      <x:c r="F5" s="23" t="str">
        <x:v>Never recycle test IDs</x:v>
      </x:c>
    </x:row>
    <x:row r="6" ht="48" hidden="0" customHeight="1">
      <x:c r="A6" s="23" t="n">
        <x:v>3</x:v>
      </x:c>
      <x:c r="B6" s="23" t="str">
        <x:v>A test is executed</x:v>
      </x:c>
      <x:c r="C6" s="23" t="str">
        <x:v>Append a new run</x:v>
      </x:c>
      <x:c r="D6" s="23" t="str">
        <x:v>Test Executions</x:v>
      </x:c>
      <x:c r="E6" s="23" t="str">
        <x:v>Run ID, date, build, result, evidence</x:v>
      </x:c>
      <x:c r="F6" s="23" t="str">
        <x:v>Never overwrite historical runs</x:v>
      </x:c>
    </x:row>
    <x:row r="7" ht="60" hidden="0" customHeight="1">
      <x:c r="A7" s="23" t="n">
        <x:v>4</x:v>
      </x:c>
      <x:c r="B7" s="23" t="str">
        <x:v>A defect is found</x:v>
      </x:c>
      <x:c r="C7" s="23" t="str">
        <x:v>Record the defect and retest requirement</x:v>
      </x:c>
      <x:c r="D7" s="23" t="str">
        <x:v>Test Executions</x:v>
      </x:c>
      <x:c r="E7" s="23" t="str">
        <x:v>Defect ID, result, retest</x:v>
      </x:c>
      <x:c r="F7" s="23" t="str">
        <x:v>Failed acceptance tests block the gate</x:v>
      </x:c>
    </x:row>
    <x:row r="8" ht="60" hidden="0" customHeight="1">
      <x:c r="A8" s="23" t="n">
        <x:v>5</x:v>
      </x:c>
      <x:c r="B8" s="23" t="str">
        <x:v>A gate is reviewed</x:v>
      </x:c>
      <x:c r="C8" s="23" t="str">
        <x:v>Confirm linked required tests</x:v>
      </x:c>
      <x:c r="D8" s="23" t="str">
        <x:v>Acceptance Matrix</x:v>
      </x:c>
      <x:c r="E8" s="23" t="str">
        <x:v>Result, evidence, accepted date/by</x:v>
      </x:c>
      <x:c r="F8" s="23" t="str">
        <x:v>Pending if any required test is not passed</x:v>
      </x:c>
    </x:row>
    <x:row r="9" ht="60" hidden="0" customHeight="1">
      <x:c r="A9" s="23" t="n">
        <x:v>6</x:v>
      </x:c>
      <x:c r="B9" s="23" t="str">
        <x:v>A phase is approved</x:v>
      </x:c>
      <x:c r="C9" s="23" t="str">
        <x:v>Update the phase ledger</x:v>
      </x:c>
      <x:c r="D9" s="23" t="str">
        <x:v>Phase Register</x:v>
      </x:c>
      <x:c r="E9" s="23" t="str">
        <x:v>Status, validation reference, date</x:v>
      </x:c>
      <x:c r="F9" s="23" t="str">
        <x:v>Use Validated only after acceptance review</x:v>
      </x:c>
    </x:row>
    <x:row r="10" ht="60" hidden="0" customHeight="1">
      <x:c r="A10" s="24" t="n">
        <x:v>7</x:v>
      </x:c>
      <x:c r="B10" s="24" t="str">
        <x:v>A release/build changes</x:v>
      </x:c>
      <x:c r="C10" s="24" t="str">
        <x:v>Create fresh execution rows</x:v>
      </x:c>
      <x:c r="D10" s="24" t="str">
        <x:v>Test Executions</x:v>
      </x:c>
      <x:c r="E10" s="24" t="str">
        <x:v>New build/commit and actual result</x:v>
      </x:c>
      <x:c r="F10" s="24" t="str">
        <x:v>Re-run affected regression tests</x:v>
      </x:c>
    </x:row>
    <x:row r="11"/>
    <x:row r="12" ht="26.399999618530273" hidden="0" customHeight="1">
      <x:c r="A12" s="13" t="str">
        <x:v>Controlled field</x:v>
      </x:c>
      <x:c r="B12" s="14" t="str">
        <x:v>Allowed values</x:v>
      </x:c>
    </x:row>
    <x:row r="13" ht="84" hidden="0" customHeight="1">
      <x:c r="A13" s="22" t="str">
        <x:v>Phase Status</x:v>
      </x:c>
      <x:c r="B13" s="22" t="str">
        <x:v>Not Started; In Progress; Ready for Validation; Validated; Blocked</x:v>
      </x:c>
    </x:row>
    <x:row r="14" ht="60" hidden="0" customHeight="1">
      <x:c r="A14" s="23" t="str">
        <x:v>Test Result</x:v>
      </x:c>
      <x:c r="B14" s="23" t="str">
        <x:v>Not Run; Passed; Failed; Blocked; N/A</x:v>
      </x:c>
    </x:row>
    <x:row r="15" ht="48" hidden="0" customHeight="1">
      <x:c r="A15" s="23" t="str">
        <x:v>Priority</x:v>
      </x:c>
      <x:c r="B15" s="23" t="str">
        <x:v>Critical; High; Medium; Low</x:v>
      </x:c>
    </x:row>
    <x:row r="16" ht="48" hidden="0" customHeight="1">
      <x:c r="A16" s="23" t="str">
        <x:v>Acceptance Result</x:v>
      </x:c>
      <x:c r="B16" s="23" t="str">
        <x:v>Pending; Accepted; Rejected; Blocked</x:v>
      </x:c>
    </x:row>
    <x:row r="17" ht="36" hidden="0" customHeight="1">
      <x:c r="A17" s="23" t="str">
        <x:v>Retest</x:v>
      </x:c>
      <x:c r="B17" s="23" t="str">
        <x:v>No; Required; Completed</x:v>
      </x:c>
    </x:row>
    <x:row r="18" ht="96" hidden="0" customHeight="1">
      <x:c r="A18" s="24" t="str">
        <x:v>Evidence</x:v>
      </x:c>
      <x:c r="B18" s="24" t="str">
        <x:v>Command output, URL, CI run, screenshot, log, commit or document reference</x:v>
      </x:c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32ac00333c3a4011"/>
</x:worksheet>
</file>