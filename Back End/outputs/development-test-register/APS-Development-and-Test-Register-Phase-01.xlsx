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e355cfa0fa4c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22ab517dc884de1"/>
    <x:sheet xmlns:r="http://schemas.openxmlformats.org/officeDocument/2006/relationships" name="Phase Register" sheetId="2" r:id="R66cf0bdda625407a"/>
    <x:sheet xmlns:r="http://schemas.openxmlformats.org/officeDocument/2006/relationships" name="Development Log" sheetId="3" r:id="R7fe06a7ac7a34027"/>
    <x:sheet xmlns:r="http://schemas.openxmlformats.org/officeDocument/2006/relationships" name="Test Cases" sheetId="4" r:id="Rcd4b5e6cff7b4334"/>
    <x:sheet xmlns:r="http://schemas.openxmlformats.org/officeDocument/2006/relationships" name="Test Executions" sheetId="5" r:id="R975cbac192bd4cc4"/>
    <x:sheet xmlns:r="http://schemas.openxmlformats.org/officeDocument/2006/relationships" name="Acceptance Matrix" sheetId="6" r:id="Rcdb61b7f72c04982"/>
    <x:sheet xmlns:r="http://schemas.openxmlformats.org/officeDocument/2006/relationships" name="Instructions" sheetId="7" r:id="R28046132485346ba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  <x:font>
      <x:sz val="10"/>
      <x:color rgb="FF15803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  <x:fill>
      <x:patternFill patternType="solid">
        <x:fgColor rgb="FFE8F5EC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6" fillId="5" borderId="3" xfId="0" applyNumberFormat="1" applyFont="1" applyFill="1" applyBorder="1" applyAlignment="1">
      <x:alignment vertical="top" wrapText="1"/>
    </x:xf>
    <x:xf numFmtId="0" fontId="6" fillId="5" borderId="4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6dda46110740cc" /><Relationship Type="http://schemas.openxmlformats.org/officeDocument/2006/relationships/theme" Target="/xl/theme/theme1.xml" Id="Rd40e1cf0e17c4d7b" /><Relationship Type="http://schemas.openxmlformats.org/officeDocument/2006/relationships/sharedStrings" Target="/xl/sharedStrings.xml" Id="Rfcfd92fca83d48fb" /><Relationship Type="http://schemas.openxmlformats.org/officeDocument/2006/relationships/worksheet" Target="/xl/worksheets/sheet1.xml" Id="Ra22ab517dc884de1" /><Relationship Type="http://schemas.openxmlformats.org/officeDocument/2006/relationships/worksheet" Target="/xl/worksheets/sheet2.xml" Id="R66cf0bdda625407a" /><Relationship Type="http://schemas.openxmlformats.org/officeDocument/2006/relationships/worksheet" Target="/xl/worksheets/sheet3.xml" Id="R7fe06a7ac7a34027" /><Relationship Type="http://schemas.openxmlformats.org/officeDocument/2006/relationships/worksheet" Target="/xl/worksheets/sheet4.xml" Id="Rcd4b5e6cff7b4334" /><Relationship Type="http://schemas.openxmlformats.org/officeDocument/2006/relationships/worksheet" Target="/xl/worksheets/sheet5.xml" Id="R975cbac192bd4cc4" /><Relationship Type="http://schemas.openxmlformats.org/officeDocument/2006/relationships/worksheet" Target="/xl/worksheets/sheet6.xml" Id="Rcdb61b7f72c04982" /><Relationship Type="http://schemas.openxmlformats.org/officeDocument/2006/relationships/worksheet" Target="/xl/worksheets/sheet7.xml" Id="R28046132485346ba" /><Relationship Type="http://schemas.microsoft.com/office/2017/10/relationships/person" Target="/xl/persons/person.xml" Id="R72c4b9720a9a4a7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b06001ca16406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00–01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b06001ca164067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16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23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23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9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814d07e8c2141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353bf6f2e541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edaab4e025840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b4cba769e1a4c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b838d04c169454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a3ea9e6bb30434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c887c092bd16467c" /><Relationship Type="http://schemas.openxmlformats.org/officeDocument/2006/relationships/vmlDrawing" Target="/xl/drawings/vmldrawing.vml" Id="Rea4621a0ede54191" /><Relationship Type="http://schemas.microsoft.com/office/2017/10/relationships/threadedComment" Target="/xl/threadedcomments/threadedcomment.xml" Id="R0cd44a6a3da646c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01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AG-P01-01</x:v>
      </x:c>
      <x:c r="E5" s="46" t="str">
        <x:v>Identity persistence</x:v>
      </x:c>
      <x:c r="F5" s="22" t="str">
        <x:v>Accepted</x:v>
      </x:c>
      <x:c r="G5" s="22" t="str">
        <x:v>Migrations and deterministic seed passed</x:v>
      </x:c>
      <x:c r="H5" s="22" t="str">
        <x:v>2026-08-26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AG-P01-02</x:v>
      </x:c>
      <x:c r="E6" s="47" t="str">
        <x:v>Authentication and sessions</x:v>
      </x:c>
      <x:c r="F6" s="23" t="str">
        <x:v>Accepted</x:v>
      </x:c>
      <x:c r="G6" s="23" t="str">
        <x:v>Login, CSRF, expiry and revocation passed</x:v>
      </x:c>
      <x:c r="H6" s="23" t="str">
        <x:v>2026-08-26</x:v>
      </x:c>
    </x:row>
    <x:row r="7" ht="84" hidden="0" customHeight="1">
      <x:c r="A7" s="23" t="str">
        <x:v>Passed tests</x:v>
      </x:c>
      <x:c r="B7" s="32" t="n">
        <x:f>COUNTIF('Test Executions'!$G$4:$G$60,"Passed")</x:f>
        <x:v>42</x:v>
      </x:c>
      <x:c r="D7" s="23" t="str">
        <x:v>AG-P01-03</x:v>
      </x:c>
      <x:c r="E7" s="47" t="str">
        <x:v>RBAC boundaries</x:v>
      </x:c>
      <x:c r="F7" s="23" t="str">
        <x:v>Accepted</x:v>
      </x:c>
      <x:c r="G7" s="23" t="str">
        <x:v>Role grants and explicit deny precedence passed</x:v>
      </x:c>
      <x:c r="H7" s="23" t="str">
        <x:v>2026-08-26</x:v>
      </x:c>
    </x:row>
    <x:row r="8" ht="72" hidden="0" customHeight="1">
      <x:c r="A8" s="23" t="str">
        <x:v>Failed tests</x:v>
      </x:c>
      <x:c r="B8" s="32" t="n">
        <x:f>COUNTIF('Test Executions'!$G$4:$G$60,"Failed")</x:f>
        <x:v>0</x:v>
      </x:c>
      <x:c r="D8" s="23" t="str">
        <x:v>AG-P01-04</x:v>
      </x:c>
      <x:c r="E8" s="47" t="str">
        <x:v>Administration</x:v>
      </x:c>
      <x:c r="F8" s="23" t="str">
        <x:v>Accepted</x:v>
      </x:c>
      <x:c r="G8" s="23" t="str">
        <x:v>CRUD, audit and manager association passed</x:v>
      </x:c>
      <x:c r="H8" s="23" t="str">
        <x:v>2026-08-26</x:v>
      </x:c>
    </x:row>
    <x:row r="9" ht="60" hidden="0" customHeight="1">
      <x:c r="A9" s="24" t="str">
        <x:v>Not-run tests</x:v>
      </x:c>
      <x:c r="B9" s="33" t="n">
        <x:f>COUNTIF('Test Executions'!$G$4:$G$60,"Not Run")</x:f>
        <x:v>0</x:v>
      </x:c>
      <x:c r="D9" s="23" t="str">
        <x:v>AG-P01-05</x:v>
      </x:c>
      <x:c r="E9" s="47" t="str">
        <x:v>Session hygiene</x:v>
      </x:c>
      <x:c r="F9" s="23" t="str">
        <x:v>Accepted</x:v>
      </x:c>
      <x:c r="G9" s="23" t="str">
        <x:v>Cleanup and production refusal passed</x:v>
      </x:c>
      <x:c r="H9" s="23" t="str">
        <x:v>2026-08-26</x:v>
      </x:c>
    </x:row>
    <x:row r="10" ht="84" hidden="0" customHeight="1">
      <x:c r="D10" s="24" t="str">
        <x:v>AG-P01-08</x:v>
      </x:c>
      <x:c r="E10" s="48" t="str">
        <x:v>Automated quality</x:v>
      </x:c>
      <x:c r="F10" s="24" t="str">
        <x:v>Accepted</x:v>
      </x:c>
      <x:c r="G10" s="24" t="str">
        <x:v>23 tests; 90.46% coverage; build passed</x:v>
      </x:c>
      <x:c r="H10" s="24" t="str">
        <x:v>2026-08-26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B7</x:f>
        <x:v>42</x:v>
      </x:c>
    </x:row>
    <x:row r="14" ht="15" hidden="0" customHeight="1">
      <x:c r="D14" t="str">
        <x:v>Failed</x:v>
      </x:c>
      <x:c r="E14" t="n">
        <x:f>B8</x:f>
        <x:v>0</x:v>
      </x:c>
    </x:row>
    <x:row r="15" ht="15" hidden="0" customHeight="1">
      <x:c r="D15" t="str">
        <x:v>Not Run</x:v>
      </x:c>
      <x:c r="E15" t="n">
        <x:f>B9</x:f>
        <x:v>0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Commit</x:v>
      </x:c>
      <x:c r="G18" s="22" t="str">
        <x:v>a796a43</x:v>
      </x:c>
      <x:c r="H18" s="22"/>
    </x:row>
    <x:row r="19" ht="48" hidden="0" customHeight="1">
      <x:c r="D19" s="23" t="str">
        <x:v>Frontend</x:v>
      </x:c>
      <x:c r="E19" s="23" t="str">
        <x:v>codex/frontend-only-prototype @ 7043f0f</x:v>
      </x:c>
      <x:c r="F19" s="23" t="str">
        <x:v>Status</x:v>
      </x:c>
      <x:c r="G19" s="23" t="str">
        <x:v>Standalone mock validated</x:v>
      </x:c>
      <x:c r="H19" s="23"/>
    </x:row>
    <x:row r="20" ht="24" hidden="0" customHeight="1">
      <x:c r="D20" s="23" t="str">
        <x:v>API</x:v>
      </x:c>
      <x:c r="E20" s="23" t="str">
        <x:v>http://127.0.0.1:8002</x:v>
      </x:c>
      <x:c r="F20" s="23" t="str">
        <x:v>Status</x:v>
      </x:c>
      <x:c r="G20" s="23" t="str">
        <x:v>Healthy</x:v>
      </x:c>
      <x:c r="H20" s="23"/>
    </x:row>
    <x:row r="21" ht="48" hidden="0" customHeight="1">
      <x:c r="D21" s="23" t="str">
        <x:v>Database</x:v>
      </x:c>
      <x:c r="E21" s="23" t="str">
        <x:v>PostgreSQL 16 on 127.0.0.1:5434</x:v>
      </x:c>
      <x:c r="F21" s="23" t="str">
        <x:v>Migration</x:v>
      </x:c>
      <x:c r="G21" s="23" t="str">
        <x:v>20260826_0004</x:v>
      </x:c>
      <x:c r="H21" s="23"/>
    </x:row>
    <x:row r="22" ht="36" hidden="0" customHeight="1">
      <x:c r="D22" s="24" t="str">
        <x:v>Evidence</x:v>
      </x:c>
      <x:c r="E22" s="24" t="str">
        <x:v>docs/phase-01-plan.md</x:v>
      </x:c>
      <x:c r="F22" s="24" t="str">
        <x:v>Updated</x:v>
      </x:c>
      <x:c r="G22" s="24" t="str">
        <x:v>2026-08-27</x:v>
      </x:c>
      <x:c r="H22" s="24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c814d07e8c21412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46259</x:v>
      </x:c>
      <x:c r="H4" s="22" t="str">
        <x:v>Backend Team</x:v>
      </x:c>
      <x:c r="I4" s="22" t="str">
        <x:v>Commit 4ddd199; local Docker validation complete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46260</x:v>
      </x:c>
      <x:c r="H5" s="23" t="str">
        <x:v>Backend Team</x:v>
      </x:c>
      <x:c r="I5" s="23" t="str">
        <x:v>Commit a796a43; 23 tests passed; 90.46% coverage; frontend commit 7043f0f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Not Started</x:v>
      </x:c>
      <x:c r="E6" s="23" t="str">
        <x:v>Reference data is persisted, validated and safely administered</x:v>
      </x:c>
      <x:c r="F6" s="23" t="str">
        <x:v>PROJECT_MANIFEST.md</x:v>
      </x:c>
      <x:c r="G6" s="38"/>
      <x:c r="H6" s="23" t="str">
        <x:v>Backend Team</x:v>
      </x:c>
      <x:c r="I6" s="23" t="str">
        <x:v>Sensitive bank details encrypted and masked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Not Started</x:v>
      </x:c>
      <x:c r="E7" s="23" t="str">
        <x:v>Every request type persists and enforces ownership and totals</x:v>
      </x:c>
      <x:c r="F7" s="23" t="str">
        <x:v>PROJECT_MANIFEST.md</x:v>
      </x:c>
      <x:c r="G7" s="38"/>
      <x:c r="H7" s="23" t="str">
        <x:v>Backend Team</x:v>
      </x:c>
      <x:c r="I7" s="23" t="str">
        <x:v>Includes optimistic locking and duplicate checks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Not Started</x:v>
      </x:c>
      <x:c r="E8" s="23" t="str">
        <x:v>Protected document lifecycle works against persisted requests</x:v>
      </x:c>
      <x:c r="F8" s="23" t="str">
        <x:v>PROJECT_MANIFEST.md</x:v>
      </x:c>
      <x:c r="G8" s="38"/>
      <x:c r="H8" s="23" t="str">
        <x:v>Backend Team</x:v>
      </x:c>
      <x:c r="I8" s="23" t="str">
        <x:v>Malware scanning adapter required for production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353bf6f2e5416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  <x:row r="17" ht="54" customHeight="1">
      <x:c r="A17" s="41" t="str">
        <x:v>DEV-0014</x:v>
      </x:c>
      <x:c r="B17" s="41" t="str">
        <x:v>P01</x:v>
      </x:c>
      <x:c r="C17" s="41" t="str">
        <x:v>Identity and RBAC schema</x:v>
      </x:c>
      <x:c r="D17" s="41" t="str">
        <x:v>Database</x:v>
      </x:c>
      <x:c r="E17" s="41" t="str">
        <x:v>Migration</x:v>
      </x:c>
      <x:c r="F17" s="41" t="str">
        <x:v>Complete</x:v>
      </x:c>
      <x:c r="G17" s="41" t="str">
        <x:v>codex/backend-integration</x:v>
      </x:c>
      <x:c r="H17" s="41" t="str">
        <x:v>a796a43</x:v>
      </x:c>
      <x:c r="I17" s="41" t="str">
        <x:v>20260825_0002</x:v>
      </x:c>
      <x:c r="J17" s="41" t="str">
        <x:v>Backend Team</x:v>
      </x:c>
      <x:c r="K17" s="42" t="n">
        <x:v>46260</x:v>
      </x:c>
      <x:c r="L17" s="41" t="str">
        <x:v>Users, departments, roles, permissions, sessions and audit events</x:v>
      </x:c>
    </x:row>
    <x:row r="18" ht="54" customHeight="1">
      <x:c r="A18" s="41" t="str">
        <x:v>DEV-0015</x:v>
      </x:c>
      <x:c r="B18" s="41" t="str">
        <x:v>P01</x:v>
      </x:c>
      <x:c r="C18" s="41" t="str">
        <x:v>Requestor-manager association</x:v>
      </x:c>
      <x:c r="D18" s="41" t="str">
        <x:v>Identity</x:v>
      </x:c>
      <x:c r="E18" s="41" t="str">
        <x:v>Migration</x:v>
      </x:c>
      <x:c r="F18" s="41" t="str">
        <x:v>Complete</x:v>
      </x:c>
      <x:c r="G18" s="41" t="str">
        <x:v>codex/backend-integration</x:v>
      </x:c>
      <x:c r="H18" s="41" t="str">
        <x:v>a796a43</x:v>
      </x:c>
      <x:c r="I18" s="41" t="str">
        <x:v>20260825_0003</x:v>
      </x:c>
      <x:c r="J18" s="41" t="str">
        <x:v>Backend Team</x:v>
      </x:c>
      <x:c r="K18" s="42" t="n">
        <x:v>46260</x:v>
      </x:c>
      <x:c r="L18" s="41" t="str">
        <x:v>Self-assignment and manager cycles rejected</x:v>
      </x:c>
    </x:row>
    <x:row r="19" ht="54" customHeight="1">
      <x:c r="A19" s="41" t="str">
        <x:v>DEV-0016</x:v>
      </x:c>
      <x:c r="B19" s="41" t="str">
        <x:v>P01</x:v>
      </x:c>
      <x:c r="C19" s="41" t="str">
        <x:v>Local authentication and sessions</x:v>
      </x:c>
      <x:c r="D19" s="41" t="str">
        <x:v>Security</x:v>
      </x:c>
      <x:c r="E19" s="41" t="str">
        <x:v>Feature</x:v>
      </x:c>
      <x:c r="F19" s="41" t="str">
        <x:v>Complete</x:v>
      </x:c>
      <x:c r="G19" s="41" t="str">
        <x:v>codex/backend-integration</x:v>
      </x:c>
      <x:c r="H19" s="41" t="str">
        <x:v>a796a43</x:v>
      </x:c>
      <x:c r="I19" s="41" t="str">
        <x:v>api/payment_module/routers/auth.py</x:v>
      </x:c>
      <x:c r="J19" s="41" t="str">
        <x:v>Backend Team</x:v>
      </x:c>
      <x:c r="K19" s="42" t="n">
        <x:v>46260</x:v>
      </x:c>
      <x:c r="L19" s="41" t="str">
        <x:v>Local password authentication remains available with future SAML</x:v>
      </x:c>
    </x:row>
    <x:row r="20" ht="54" customHeight="1">
      <x:c r="A20" s="41" t="str">
        <x:v>DEV-0017</x:v>
      </x:c>
      <x:c r="B20" s="41" t="str">
        <x:v>P01</x:v>
      </x:c>
      <x:c r="C20" s="41" t="str">
        <x:v>Role and permission enforcement</x:v>
      </x:c>
      <x:c r="D20" s="41" t="str">
        <x:v>Security</x:v>
      </x:c>
      <x:c r="E20" s="41" t="str">
        <x:v>Feature</x:v>
      </x:c>
      <x:c r="F20" s="41" t="str">
        <x:v>Complete</x:v>
      </x:c>
      <x:c r="G20" s="41" t="str">
        <x:v>codex/backend-integration</x:v>
      </x:c>
      <x:c r="H20" s="41" t="str">
        <x:v>a796a43</x:v>
      </x:c>
      <x:c r="I20" s="41" t="str">
        <x:v>api/payment_module/security.py</x:v>
      </x:c>
      <x:c r="J20" s="41" t="str">
        <x:v>Backend Team</x:v>
      </x:c>
      <x:c r="K20" s="42" t="n">
        <x:v>46260</x:v>
      </x:c>
      <x:c r="L20" s="41" t="str">
        <x:v>Explicit user deny overrides role grants</x:v>
      </x:c>
    </x:row>
    <x:row r="21" ht="54" customHeight="1">
      <x:c r="A21" s="41" t="str">
        <x:v>DEV-0018</x:v>
      </x:c>
      <x:c r="B21" s="41" t="str">
        <x:v>P01</x:v>
      </x:c>
      <x:c r="C21" s="41" t="str">
        <x:v>User administration CRUD</x:v>
      </x:c>
      <x:c r="D21" s="41" t="str">
        <x:v>Administration</x:v>
      </x:c>
      <x:c r="E21" s="41" t="str">
        <x:v>Feature</x:v>
      </x:c>
      <x:c r="F21" s="41" t="str">
        <x:v>Complete</x:v>
      </x:c>
      <x:c r="G21" s="41" t="str">
        <x:v>codex/backend-integration</x:v>
      </x:c>
      <x:c r="H21" s="41" t="str">
        <x:v>a796a43</x:v>
      </x:c>
      <x:c r="I21" s="41" t="str">
        <x:v>/api/v1/users</x:v>
      </x:c>
      <x:c r="J21" s="41" t="str">
        <x:v>Backend Team</x:v>
      </x:c>
      <x:c r="K21" s="42" t="n">
        <x:v>46260</x:v>
      </x:c>
      <x:c r="L21" s="41" t="str">
        <x:v>Create, edit, delete, suspend and manager assignment</x:v>
      </x:c>
    </x:row>
    <x:row r="22" ht="54" customHeight="1">
      <x:c r="A22" s="41" t="str">
        <x:v>DEV-0019</x:v>
      </x:c>
      <x:c r="B22" s="41" t="str">
        <x:v>P01</x:v>
      </x:c>
      <x:c r="C22" s="41" t="str">
        <x:v>Role and permission CRUD</x:v>
      </x:c>
      <x:c r="D22" s="41" t="str">
        <x:v>Administration</x:v>
      </x:c>
      <x:c r="E22" s="41" t="str">
        <x:v>Feature</x:v>
      </x:c>
      <x:c r="F22" s="41" t="str">
        <x:v>Complete</x:v>
      </x:c>
      <x:c r="G22" s="41" t="str">
        <x:v>codex/backend-integration</x:v>
      </x:c>
      <x:c r="H22" s="41" t="str">
        <x:v>a796a43</x:v>
      </x:c>
      <x:c r="I22" s="41" t="str">
        <x:v>/api/v1/roles and /api/v1/permissions</x:v>
      </x:c>
      <x:c r="J22" s="41" t="str">
        <x:v>Backend Team</x:v>
      </x:c>
      <x:c r="K22" s="42" t="n">
        <x:v>46260</x:v>
      </x:c>
      <x:c r="L22" s="41" t="str">
        <x:v>Deletion safeguards preserve assigned access records</x:v>
      </x:c>
    </x:row>
    <x:row r="23" ht="54" customHeight="1">
      <x:c r="A23" s="41" t="str">
        <x:v>DEV-0020</x:v>
      </x:c>
      <x:c r="B23" s="41" t="str">
        <x:v>P01</x:v>
      </x:c>
      <x:c r="C23" s="41" t="str">
        <x:v>Department administration CRUD</x:v>
      </x:c>
      <x:c r="D23" s="41" t="str">
        <x:v>Administration</x:v>
      </x:c>
      <x:c r="E23" s="41" t="str">
        <x:v>Feature</x:v>
      </x:c>
      <x:c r="F23" s="41" t="str">
        <x:v>Complete</x:v>
      </x:c>
      <x:c r="G23" s="41" t="str">
        <x:v>codex/backend-integration</x:v>
      </x:c>
      <x:c r="H23" s="41" t="str">
        <x:v>a796a43</x:v>
      </x:c>
      <x:c r="I23" s="41" t="str">
        <x:v>/api/v1/departments</x:v>
      </x:c>
      <x:c r="J23" s="41" t="str">
        <x:v>Backend Team</x:v>
      </x:c>
      <x:c r="K23" s="42" t="n">
        <x:v>46260</x:v>
      </x:c>
      <x:c r="L23" s="41" t="str">
        <x:v>Initial departments plus audited future additions</x:v>
      </x:c>
    </x:row>
    <x:row r="24" ht="54" customHeight="1">
      <x:c r="A24" s="41" t="str">
        <x:v>DEV-0021</x:v>
      </x:c>
      <x:c r="B24" s="41" t="str">
        <x:v>P01</x:v>
      </x:c>
      <x:c r="C24" s="41" t="str">
        <x:v>Append-only identity audit</x:v>
      </x:c>
      <x:c r="D24" s="41" t="str">
        <x:v>Audit</x:v>
      </x:c>
      <x:c r="E24" s="41" t="str">
        <x:v>Feature</x:v>
      </x:c>
      <x:c r="F24" s="41" t="str">
        <x:v>Complete</x:v>
      </x:c>
      <x:c r="G24" s="41" t="str">
        <x:v>codex/backend-integration</x:v>
      </x:c>
      <x:c r="H24" s="41" t="str">
        <x:v>a796a43</x:v>
      </x:c>
      <x:c r="I24" s="41" t="str">
        <x:v>api/payment_module/audit.py</x:v>
      </x:c>
      <x:c r="J24" s="41" t="str">
        <x:v>Backend Team</x:v>
      </x:c>
      <x:c r="K24" s="42" t="n">
        <x:v>46260</x:v>
      </x:c>
      <x:c r="L24" s="41" t="str">
        <x:v>Actor, entity, request ID and before/after values recorded</x:v>
      </x:c>
    </x:row>
    <x:row r="25" ht="54" customHeight="1">
      <x:c r="A25" s="41" t="str">
        <x:v>DEV-0022</x:v>
      </x:c>
      <x:c r="B25" s="41" t="str">
        <x:v>P01</x:v>
      </x:c>
      <x:c r="C25" s="41" t="str">
        <x:v>Retained-session cleanup safeguards</x:v>
      </x:c>
      <x:c r="D25" s="41" t="str">
        <x:v>Security</x:v>
      </x:c>
      <x:c r="E25" s="41" t="str">
        <x:v>Maintenance</x:v>
      </x:c>
      <x:c r="F25" s="41" t="str">
        <x:v>Complete</x:v>
      </x:c>
      <x:c r="G25" s="41" t="str">
        <x:v>codex/backend-integration</x:v>
      </x:c>
      <x:c r="H25" s="41" t="str">
        <x:v>a796a43</x:v>
      </x:c>
      <x:c r="I25" s="41" t="str">
        <x:v>20260826_0004 / maintenance.py</x:v>
      </x:c>
      <x:c r="J25" s="41" t="str">
        <x:v>Backend Team</x:v>
      </x:c>
      <x:c r="K25" s="42" t="n">
        <x:v>46260</x:v>
      </x:c>
      <x:c r="L25" s="41" t="str">
        <x:v>Disabled by default; hard-refuses staging and production</x:v>
      </x:c>
    </x:row>
    <x:row r="26" ht="54" customHeight="1">
      <x:c r="A26" s="41" t="str">
        <x:v>DEV-0023</x:v>
      </x:c>
      <x:c r="B26" s="41" t="str">
        <x:v>P01</x:v>
      </x:c>
      <x:c r="C26" s="41" t="str">
        <x:v>Identity administration frontend</x:v>
      </x:c>
      <x:c r="D26" s="41" t="str">
        <x:v>Frontend</x:v>
      </x:c>
      <x:c r="E26" s="41" t="str">
        <x:v>Feature</x:v>
      </x:c>
      <x:c r="F26" s="41" t="str">
        <x:v>Complete</x:v>
      </x:c>
      <x:c r="G26" s="41" t="str">
        <x:v>codex/backend-integration</x:v>
      </x:c>
      <x:c r="H26" s="41" t="str">
        <x:v>a796a43</x:v>
      </x:c>
      <x:c r="I26" s="41" t="str">
        <x:v>Users, Roles &amp; Permissions, Departments</x:v>
      </x:c>
      <x:c r="J26" s="41" t="str">
        <x:v>Frontend Team</x:v>
      </x:c>
      <x:c r="K26" s="42" t="n">
        <x:v>46260</x:v>
      </x:c>
      <x:c r="L26" s="41" t="str">
        <x:v>Uniform lists, modals and floating row actions</x:v>
      </x:c>
    </x:row>
    <x:row r="27" ht="54" customHeight="1">
      <x:c r="A27" s="41" t="str">
        <x:v>DEV-0024</x:v>
      </x:c>
      <x:c r="B27" s="41" t="str">
        <x:v>P01</x:v>
      </x:c>
      <x:c r="C27" s="41" t="str">
        <x:v>Account and login experience</x:v>
      </x:c>
      <x:c r="D27" s="41" t="str">
        <x:v>Frontend</x:v>
      </x:c>
      <x:c r="E27" s="41" t="str">
        <x:v>Feature</x:v>
      </x:c>
      <x:c r="F27" s="41" t="str">
        <x:v>Complete</x:v>
      </x:c>
      <x:c r="G27" s="41" t="str">
        <x:v>codex/backend-integration</x:v>
      </x:c>
      <x:c r="H27" s="41" t="str">
        <x:v>a796a43</x:v>
      </x:c>
      <x:c r="I27" s="41" t="str">
        <x:v>Login card and sidebar account menu</x:v>
      </x:c>
      <x:c r="J27" s="41" t="str">
        <x:v>Frontend Team</x:v>
      </x:c>
      <x:c r="K27" s="42" t="n">
        <x:v>46260</x:v>
      </x:c>
      <x:c r="L27" s="41" t="str">
        <x:v>Session loading remains on login card; account menu floats</x:v>
      </x:c>
    </x:row>
    <x:row r="28" ht="54" customHeight="1">
      <x:c r="A28" s="41" t="str">
        <x:v>DEV-0025</x:v>
      </x:c>
      <x:c r="B28" s="41" t="str">
        <x:v>P01</x:v>
      </x:c>
      <x:c r="C28" s="41" t="str">
        <x:v>Excel transaction export</x:v>
      </x:c>
      <x:c r="D28" s="41" t="str">
        <x:v>Frontend</x:v>
      </x:c>
      <x:c r="E28" s="41" t="str">
        <x:v>Feature</x:v>
      </x:c>
      <x:c r="F28" s="41" t="str">
        <x:v>Complete</x:v>
      </x:c>
      <x:c r="G28" s="41" t="str">
        <x:v>codex/backend-integration</x:v>
      </x:c>
      <x:c r="H28" s="41" t="str">
        <x:v>a796a43</x:v>
      </x:c>
      <x:c r="I28" s="41" t="str">
        <x:v>Export Excel</x:v>
      </x:c>
      <x:c r="J28" s="41" t="str">
        <x:v>Frontend Team</x:v>
      </x:c>
      <x:c r="K28" s="42" t="n">
        <x:v>46260</x:v>
      </x:c>
      <x:c r="L28" s="41" t="str">
        <x:v>Department report produces an XLSX workbook</x:v>
      </x:c>
    </x:row>
    <x:row r="29" ht="54" customHeight="1">
      <x:c r="A29" s="41" t="str">
        <x:v>DEV-0026</x:v>
      </x:c>
      <x:c r="B29" s="41" t="str">
        <x:v>P01</x:v>
      </x:c>
      <x:c r="C29" s="41" t="str">
        <x:v>Phase 01 validation and release</x:v>
      </x:c>
      <x:c r="D29" s="41" t="str">
        <x:v>Delivery</x:v>
      </x:c>
      <x:c r="E29" s="41" t="str">
        <x:v>Quality</x:v>
      </x:c>
      <x:c r="F29" s="41" t="str">
        <x:v>Complete</x:v>
      </x:c>
      <x:c r="G29" s="41" t="str">
        <x:v>codex/backend-integration</x:v>
      </x:c>
      <x:c r="H29" s="41" t="str">
        <x:v>a796a43</x:v>
      </x:c>
      <x:c r="I29" s="41" t="str">
        <x:v>23 tests / 90.46% / release archive</x:v>
      </x:c>
      <x:c r="J29" s="41" t="str">
        <x:v>Paolo Ylag</x:v>
      </x:c>
      <x:c r="K29" s="42" t="n">
        <x:v>46260</x:v>
      </x:c>
      <x:c r="L29" s="41" t="str">
        <x:v>Local release gates and production refusal passed</x:v>
      </x:c>
    </x:row>
    <x:row r="30" ht="54" customHeight="1">
      <x:c r="A30" s="41" t="str">
        <x:v>DEV-0027</x:v>
      </x:c>
      <x:c r="B30" s="41" t="str">
        <x:v>P01</x:v>
      </x:c>
      <x:c r="C30" s="41" t="str">
        <x:v>Frontend-only synchronization</x:v>
      </x:c>
      <x:c r="D30" s="41" t="str">
        <x:v>Frontend</x:v>
      </x:c>
      <x:c r="E30" s="41" t="str">
        <x:v>Delivery</x:v>
      </x:c>
      <x:c r="F30" s="41" t="str">
        <x:v>Complete</x:v>
      </x:c>
      <x:c r="G30" s="41" t="str">
        <x:v>codex/frontend-only-prototype</x:v>
      </x:c>
      <x:c r="H30" s="41" t="str">
        <x:v>7043f0f</x:v>
      </x:c>
      <x:c r="I30" s="41" t="str">
        <x:v>Standalone mock-mode build and route smoke test</x:v>
      </x:c>
      <x:c r="J30" s="41" t="str">
        <x:v>Frontend Team</x:v>
      </x:c>
      <x:c r="K30" s="42" t="n">
        <x:v>46261</x:v>
      </x:c>
      <x:c r="L30" s="41" t="str">
        <x:v>Six reviewed assets synchronized without backend code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daab4e0258403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 ht="54" customHeight="1">
      <x:c r="A24" s="41" t="str">
        <x:v>TC-P01-001</x:v>
      </x:c>
      <x:c r="B24" s="41" t="str">
        <x:v>P01</x:v>
      </x:c>
      <x:c r="C24" s="41" t="str">
        <x:v>Password hashing</x:v>
      </x:c>
      <x:c r="D24" s="41" t="str">
        <x:v>Security</x:v>
      </x:c>
      <x:c r="E24" s="41" t="str">
        <x:v>Test password available</x:v>
      </x:c>
      <x:c r="F24" s="41" t="str">
        <x:v>Hash identical password twice; verify correct and incorrect passwords</x:v>
      </x:c>
      <x:c r="G24" s="41" t="str">
        <x:v>Hashes differ; correct password verifies; incorrect password fails</x:v>
      </x:c>
      <x:c r="H24" s="41" t="str">
        <x:v>Automated</x:v>
      </x:c>
      <x:c r="I24" s="41" t="str">
        <x:v>pytest tests/test_identity.py::test_password_hash_is_salted_and_verifiable</x:v>
      </x:c>
      <x:c r="J24" s="41" t="str">
        <x:v>Critical</x:v>
      </x:c>
      <x:c r="K24" s="41" t="str">
        <x:v>Passed</x:v>
      </x:c>
      <x:c r="L24" s="41" t="str">
        <x:v>Yes</x:v>
      </x:c>
      <x:c r="M24" s="41" t="str">
        <x:v>Local run 2026-08-26</x:v>
      </x:c>
    </x:row>
    <x:row r="25" ht="54" customHeight="1">
      <x:c r="A25" s="41" t="str">
        <x:v>TC-P01-002</x:v>
      </x:c>
      <x:c r="B25" s="41" t="str">
        <x:v>P01</x:v>
      </x:c>
      <x:c r="C25" s="41" t="str">
        <x:v>Identity seed</x:v>
      </x:c>
      <x:c r="D25" s="41" t="str">
        <x:v>Database</x:v>
      </x:c>
      <x:c r="E25" s="41" t="str">
        <x:v>Migration head applied</x:v>
      </x:c>
      <x:c r="F25" s="41" t="str">
        <x:v>Run identity seed twice</x:v>
      </x:c>
      <x:c r="G25" s="41" t="str">
        <x:v>Reference identities remain deterministic with nine users and eight permissions</x:v>
      </x:c>
      <x:c r="H25" s="41" t="str">
        <x:v>Automated</x:v>
      </x:c>
      <x:c r="I25" s="41" t="str">
        <x:v>pytest tests/test_identity.py::test_phase_01_seed_is_deterministic</x:v>
      </x:c>
      <x:c r="J25" s="41" t="str">
        <x:v>Critical</x:v>
      </x:c>
      <x:c r="K25" s="41" t="str">
        <x:v>Passed</x:v>
      </x:c>
      <x:c r="L25" s="41" t="str">
        <x:v>Yes</x:v>
      </x:c>
      <x:c r="M25" s="41" t="str">
        <x:v>Local run 2026-08-26</x:v>
      </x:c>
    </x:row>
    <x:row r="26" ht="54" customHeight="1">
      <x:c r="A26" s="41" t="str">
        <x:v>TC-P01-003</x:v>
      </x:c>
      <x:c r="B26" s="41" t="str">
        <x:v>P01</x:v>
      </x:c>
      <x:c r="C26" s="41" t="str">
        <x:v>Login, session and logout</x:v>
      </x:c>
      <x:c r="D26" s="41" t="str">
        <x:v>API</x:v>
      </x:c>
      <x:c r="E26" s="41" t="str">
        <x:v>Seeded administrator</x:v>
      </x:c>
      <x:c r="F26" s="41" t="str">
        <x:v>Login; read session; logout; read session again</x:v>
      </x:c>
      <x:c r="G26" s="41" t="str">
        <x:v>Login and session return 200; logout revokes session; later read returns 401</x:v>
      </x:c>
      <x:c r="H26" s="41" t="str">
        <x:v>Automated</x:v>
      </x:c>
      <x:c r="I26" s="41" t="str">
        <x:v>pytest tests/test_identity.py::test_login_session_logout_and_revocation</x:v>
      </x:c>
      <x:c r="J26" s="41" t="str">
        <x:v>Critical</x:v>
      </x:c>
      <x:c r="K26" s="41" t="str">
        <x:v>Passed</x:v>
      </x:c>
      <x:c r="L26" s="41" t="str">
        <x:v>Yes</x:v>
      </x:c>
      <x:c r="M26" s="41" t="str">
        <x:v>Local run 2026-08-26</x:v>
      </x:c>
    </x:row>
    <x:row r="27" ht="54" customHeight="1">
      <x:c r="A27" s="41" t="str">
        <x:v>TC-P01-004</x:v>
      </x:c>
      <x:c r="B27" s="41" t="str">
        <x:v>P01</x:v>
      </x:c>
      <x:c r="C27" s="41" t="str">
        <x:v>Invalid authentication</x:v>
      </x:c>
      <x:c r="D27" s="41" t="str">
        <x:v>Negative</x:v>
      </x:c>
      <x:c r="E27" s="41" t="str">
        <x:v>Seeded identities</x:v>
      </x:c>
      <x:c r="F27" s="41" t="str">
        <x:v>Use invalid password and call protected endpoint without session</x:v>
      </x:c>
      <x:c r="G27" s="41" t="str">
        <x:v>Invalid login and unauthenticated protected request return 401</x:v>
      </x:c>
      <x:c r="H27" s="41" t="str">
        <x:v>Automated</x:v>
      </x:c>
      <x:c r="I27" s="41" t="str">
        <x:v>pytest tests/test_identity.py::test_invalid_login_and_unauthenticated_request_are_rejected</x:v>
      </x:c>
      <x:c r="J27" s="41" t="str">
        <x:v>Critical</x:v>
      </x:c>
      <x:c r="K27" s="41" t="str">
        <x:v>Passed</x:v>
      </x:c>
      <x:c r="L27" s="41" t="str">
        <x:v>Yes</x:v>
      </x:c>
      <x:c r="M27" s="41" t="str">
        <x:v>Local run 2026-08-26</x:v>
      </x:c>
    </x:row>
    <x:row r="28" ht="54" customHeight="1">
      <x:c r="A28" s="41" t="str">
        <x:v>TC-P01-005</x:v>
      </x:c>
      <x:c r="B28" s="41" t="str">
        <x:v>P01</x:v>
      </x:c>
      <x:c r="C28" s="41" t="str">
        <x:v>Role permission boundary</x:v>
      </x:c>
      <x:c r="D28" s="41" t="str">
        <x:v>Authorization</x:v>
      </x:c>
      <x:c r="E28" s="41" t="str">
        <x:v>Requestor identity</x:v>
      </x:c>
      <x:c r="F28" s="41" t="str">
        <x:v>Read departments then attempt user administration</x:v>
      </x:c>
      <x:c r="G28" s="41" t="str">
        <x:v>Granted read succeeds; unauthorized user list returns 403</x:v>
      </x:c>
      <x:c r="H28" s="41" t="str">
        <x:v>Automated</x:v>
      </x:c>
      <x:c r="I28" s="41" t="str">
        <x:v>pytest tests/test_identity.py::test_role_permissions_and_explicit_deny_take_precedence</x:v>
      </x:c>
      <x:c r="J28" s="41" t="str">
        <x:v>Critical</x:v>
      </x:c>
      <x:c r="K28" s="41" t="str">
        <x:v>Passed</x:v>
      </x:c>
      <x:c r="L28" s="41" t="str">
        <x:v>Yes</x:v>
      </x:c>
      <x:c r="M28" s="41" t="str">
        <x:v>Local run 2026-08-26</x:v>
      </x:c>
    </x:row>
    <x:row r="29" ht="54" customHeight="1">
      <x:c r="A29" s="41" t="str">
        <x:v>TC-P01-006</x:v>
      </x:c>
      <x:c r="B29" s="41" t="str">
        <x:v>P01</x:v>
      </x:c>
      <x:c r="C29" s="41" t="str">
        <x:v>Audited department creation</x:v>
      </x:c>
      <x:c r="D29" s="41" t="str">
        <x:v>Audit</x:v>
      </x:c>
      <x:c r="E29" s="41" t="str">
        <x:v>Administrator session</x:v>
      </x:c>
      <x:c r="F29" s="41" t="str">
        <x:v>Create department and inspect audit event</x:v>
      </x:c>
      <x:c r="G29" s="41" t="str">
        <x:v>Department persists and creation event identifies the entity</x:v>
      </x:c>
      <x:c r="H29" s="41" t="str">
        <x:v>Automated</x:v>
      </x:c>
      <x:c r="I29" s="41" t="str">
        <x:v>pytest tests/test_identity.py::test_admin_can_add_department_and_change_is_audited</x:v>
      </x:c>
      <x:c r="J29" s="41" t="str">
        <x:v>High</x:v>
      </x:c>
      <x:c r="K29" s="41" t="str">
        <x:v>Passed</x:v>
      </x:c>
      <x:c r="L29" s="41" t="str">
        <x:v>Yes</x:v>
      </x:c>
      <x:c r="M29" s="41" t="str">
        <x:v>Local run 2026-08-26</x:v>
      </x:c>
    </x:row>
    <x:row r="30" ht="54" customHeight="1">
      <x:c r="A30" s="41" t="str">
        <x:v>TC-P01-007</x:v>
      </x:c>
      <x:c r="B30" s="41" t="str">
        <x:v>P01</x:v>
      </x:c>
      <x:c r="C30" s="41" t="str">
        <x:v>Idle and suspended account rejection</x:v>
      </x:c>
      <x:c r="D30" s="41" t="str">
        <x:v>Security</x:v>
      </x:c>
      <x:c r="E30" s="41" t="str">
        <x:v>Finance Associate identity</x:v>
      </x:c>
      <x:c r="F30" s="41" t="str">
        <x:v>Age session past 60 minutes; suspend account; retry</x:v>
      </x:c>
      <x:c r="G30" s="41" t="str">
        <x:v>Idle session and suspended account are rejected</x:v>
      </x:c>
      <x:c r="H30" s="41" t="str">
        <x:v>Automated</x:v>
      </x:c>
      <x:c r="I30" s="41" t="str">
        <x:v>pytest tests/test_identity.py::test_idle_session_and_suspended_user_are_rejected</x:v>
      </x:c>
      <x:c r="J30" s="41" t="str">
        <x:v>Critical</x:v>
      </x:c>
      <x:c r="K30" s="41" t="str">
        <x:v>Passed</x:v>
      </x:c>
      <x:c r="L30" s="41" t="str">
        <x:v>Yes</x:v>
      </x:c>
      <x:c r="M30" s="41" t="str">
        <x:v>Local run 2026-08-26</x:v>
      </x:c>
    </x:row>
    <x:row r="31" ht="54" customHeight="1">
      <x:c r="A31" s="41" t="str">
        <x:v>TC-P01-008</x:v>
      </x:c>
      <x:c r="B31" s="41" t="str">
        <x:v>P01</x:v>
      </x:c>
      <x:c r="C31" s="41" t="str">
        <x:v>Role assignment audit</x:v>
      </x:c>
      <x:c r="D31" s="41" t="str">
        <x:v>Authorization</x:v>
      </x:c>
      <x:c r="E31" s="41" t="str">
        <x:v>Administrator session</x:v>
      </x:c>
      <x:c r="F31" s="41" t="str">
        <x:v>Replace requestor roles and inspect event</x:v>
      </x:c>
      <x:c r="G31" s="41" t="str">
        <x:v>Role set is replaced and user.roles_changed is audited</x:v>
      </x:c>
      <x:c r="H31" s="41" t="str">
        <x:v>Automated</x:v>
      </x:c>
      <x:c r="I31" s="41" t="str">
        <x:v>pytest tests/test_identity.py::test_admin_can_replace_roles_and_change_is_audited</x:v>
      </x:c>
      <x:c r="J31" s="41" t="str">
        <x:v>High</x:v>
      </x:c>
      <x:c r="K31" s="41" t="str">
        <x:v>Passed</x:v>
      </x:c>
      <x:c r="L31" s="41" t="str">
        <x:v>Yes</x:v>
      </x:c>
      <x:c r="M31" s="41" t="str">
        <x:v>Local run 2026-08-26</x:v>
      </x:c>
    </x:row>
    <x:row r="32" ht="54" customHeight="1">
      <x:c r="A32" s="41" t="str">
        <x:v>TC-P01-009</x:v>
      </x:c>
      <x:c r="B32" s="41" t="str">
        <x:v>P01</x:v>
      </x:c>
      <x:c r="C32" s="41" t="str">
        <x:v>Explicit permission deny</x:v>
      </x:c>
      <x:c r="D32" s="41" t="str">
        <x:v>Authorization</x:v>
      </x:c>
      <x:c r="E32" s="41" t="str">
        <x:v>Requestor with department read grant</x:v>
      </x:c>
      <x:c r="F32" s="41" t="str">
        <x:v>Apply deny override; re-login; read departments</x:v>
      </x:c>
      <x:c r="G32" s="41" t="str">
        <x:v>Explicit deny overrides role permission and returns 403</x:v>
      </x:c>
      <x:c r="H32" s="41" t="str">
        <x:v>Automated</x:v>
      </x:c>
      <x:c r="I32" s="41" t="str">
        <x:v>pytest tests/test_identity.py::test_explicit_permission_deny_overrides_role_grant</x:v>
      </x:c>
      <x:c r="J32" s="41" t="str">
        <x:v>Critical</x:v>
      </x:c>
      <x:c r="K32" s="41" t="str">
        <x:v>Passed</x:v>
      </x:c>
      <x:c r="L32" s="41" t="str">
        <x:v>Yes</x:v>
      </x:c>
      <x:c r="M32" s="41" t="str">
        <x:v>Local run 2026-08-26</x:v>
      </x:c>
    </x:row>
    <x:row r="33" ht="54" customHeight="1">
      <x:c r="A33" s="41" t="str">
        <x:v>TC-P01-010</x:v>
      </x:c>
      <x:c r="B33" s="41" t="str">
        <x:v>P01</x:v>
      </x:c>
      <x:c r="C33" s="41" t="str">
        <x:v>CSRF protection</x:v>
      </x:c>
      <x:c r="D33" s="41" t="str">
        <x:v>Security</x:v>
      </x:c>
      <x:c r="E33" s="41" t="str">
        <x:v>Authenticated administrator</x:v>
      </x:c>
      <x:c r="F33" s="41" t="str">
        <x:v>POST department without CSRF token</x:v>
      </x:c>
      <x:c r="G33" s="41" t="str">
        <x:v>Authenticated mutation is rejected with 403</x:v>
      </x:c>
      <x:c r="H33" s="41" t="str">
        <x:v>Automated</x:v>
      </x:c>
      <x:c r="I33" s="41" t="str">
        <x:v>pytest tests/test_identity.py::test_csrf_is_required_for_authenticated_mutations</x:v>
      </x:c>
      <x:c r="J33" s="41" t="str">
        <x:v>Critical</x:v>
      </x:c>
      <x:c r="K33" s="41" t="str">
        <x:v>Passed</x:v>
      </x:c>
      <x:c r="L33" s="41" t="str">
        <x:v>Yes</x:v>
      </x:c>
      <x:c r="M33" s="41" t="str">
        <x:v>Local run 2026-08-26</x:v>
      </x:c>
    </x:row>
    <x:row r="34" ht="54" customHeight="1">
      <x:c r="A34" s="41" t="str">
        <x:v>TC-P01-011</x:v>
      </x:c>
      <x:c r="B34" s="41" t="str">
        <x:v>P01</x:v>
      </x:c>
      <x:c r="C34" s="41" t="str">
        <x:v>User suspension revokes sessions</x:v>
      </x:c>
      <x:c r="D34" s="41" t="str">
        <x:v>Security</x:v>
      </x:c>
      <x:c r="E34" s="41" t="str">
        <x:v>Administrator and temporary user</x:v>
      </x:c>
      <x:c r="F34" s="41" t="str">
        <x:v>Create user; login; suspend; retry login</x:v>
      </x:c>
      <x:c r="G34" s="41" t="str">
        <x:v>User creation succeeds; suspension revokes sessions and rejects login</x:v>
      </x:c>
      <x:c r="H34" s="41" t="str">
        <x:v>Automated</x:v>
      </x:c>
      <x:c r="I34" s="41" t="str">
        <x:v>pytest tests/test_identity.py::test_admin_can_create_and_suspend_user_with_session_revocation</x:v>
      </x:c>
      <x:c r="J34" s="41" t="str">
        <x:v>Critical</x:v>
      </x:c>
      <x:c r="K34" s="41" t="str">
        <x:v>Passed</x:v>
      </x:c>
      <x:c r="L34" s="41" t="str">
        <x:v>Yes</x:v>
      </x:c>
      <x:c r="M34" s="41" t="str">
        <x:v>Local run 2026-08-26</x:v>
      </x:c>
    </x:row>
    <x:row r="35" ht="54" customHeight="1">
      <x:c r="A35" s="41" t="str">
        <x:v>TC-P01-012</x:v>
      </x:c>
      <x:c r="B35" s="41" t="str">
        <x:v>P01</x:v>
      </x:c>
      <x:c r="C35" s="41" t="str">
        <x:v>Requestor-manager association</x:v>
      </x:c>
      <x:c r="D35" s="41" t="str">
        <x:v>Identity</x:v>
      </x:c>
      <x:c r="E35" s="41" t="str">
        <x:v>Manager and requestor users</x:v>
      </x:c>
      <x:c r="F35" s="41" t="str">
        <x:v>Assign manager; attempt self-assignment and a cycle</x:v>
      </x:c>
      <x:c r="G35" s="41" t="str">
        <x:v>Valid association persists; self and cyclic relationships return 422</x:v>
      </x:c>
      <x:c r="H35" s="41" t="str">
        <x:v>Automated</x:v>
      </x:c>
      <x:c r="I35" s="41" t="str">
        <x:v>pytest tests/test_identity.py::test_admin_can_assign_requestor_manager_and_cycles_are_rejected</x:v>
      </x:c>
      <x:c r="J35" s="41" t="str">
        <x:v>Critical</x:v>
      </x:c>
      <x:c r="K35" s="41" t="str">
        <x:v>Passed</x:v>
      </x:c>
      <x:c r="L35" s="41" t="str">
        <x:v>Yes</x:v>
      </x:c>
      <x:c r="M35" s="41" t="str">
        <x:v>Local run 2026-08-26</x:v>
      </x:c>
    </x:row>
    <x:row r="36" ht="54" customHeight="1">
      <x:c r="A36" s="41" t="str">
        <x:v>TC-P01-013</x:v>
      </x:c>
      <x:c r="B36" s="41" t="str">
        <x:v>P01</x:v>
      </x:c>
      <x:c r="C36" s="41" t="str">
        <x:v>Administration CRUD safeguards</x:v>
      </x:c>
      <x:c r="D36" s="41" t="str">
        <x:v>API</x:v>
      </x:c>
      <x:c r="E36" s="41" t="str">
        <x:v>Administrator session</x:v>
      </x:c>
      <x:c r="F36" s="41" t="str">
        <x:v>Create, edit and delete users, departments, roles and permissions</x:v>
      </x:c>
      <x:c r="G36" s="41" t="str">
        <x:v>CRUD succeeds; referenced department deletion returns 409 until reassigned</x:v>
      </x:c>
      <x:c r="H36" s="41" t="str">
        <x:v>Automated</x:v>
      </x:c>
      <x:c r="I36" s="41" t="str">
        <x:v>pytest tests/test_identity.py::test_admin_crud_for_users_departments_roles_and_permissions</x:v>
      </x:c>
      <x:c r="J36" s="41" t="str">
        <x:v>Critical</x:v>
      </x:c>
      <x:c r="K36" s="41" t="str">
        <x:v>Passed</x:v>
      </x:c>
      <x:c r="L36" s="41" t="str">
        <x:v>Yes</x:v>
      </x:c>
      <x:c r="M36" s="41" t="str">
        <x:v>Local run 2026-08-26</x:v>
      </x:c>
    </x:row>
    <x:row r="37" ht="54" customHeight="1">
      <x:c r="A37" s="41" t="str">
        <x:v>TC-P01-014</x:v>
      </x:c>
      <x:c r="B37" s="41" t="str">
        <x:v>P01</x:v>
      </x:c>
      <x:c r="C37" s="41" t="str">
        <x:v>Session retention cleanup</x:v>
      </x:c>
      <x:c r="D37" s="41" t="str">
        <x:v>Maintenance</x:v>
      </x:c>
      <x:c r="E37" s="41" t="str">
        <x:v>Controlled active and invalid sessions</x:v>
      </x:c>
      <x:c r="F37" s="41" t="str">
        <x:v>Dry run then clean in batches</x:v>
      </x:c>
      <x:c r="G37" s="41" t="str">
        <x:v>Only invalid sessions older than 30 days are deleted; active/recent rows remain</x:v>
      </x:c>
      <x:c r="H37" s="41" t="str">
        <x:v>Automated</x:v>
      </x:c>
      <x:c r="I37" s="41" t="str">
        <x:v>pytest tests/test_maintenance.py::test_cleanup_deletes_only_sessions_past_retention</x:v>
      </x:c>
      <x:c r="J37" s="41" t="str">
        <x:v>Critical</x:v>
      </x:c>
      <x:c r="K37" s="41" t="str">
        <x:v>Passed</x:v>
      </x:c>
      <x:c r="L37" s="41" t="str">
        <x:v>Yes</x:v>
      </x:c>
      <x:c r="M37" s="41" t="str">
        <x:v>Local run 2026-08-26</x:v>
      </x:c>
    </x:row>
    <x:row r="38" ht="54" customHeight="1">
      <x:c r="A38" s="41" t="str">
        <x:v>TC-P01-015</x:v>
      </x:c>
      <x:c r="B38" s="41" t="str">
        <x:v>P01</x:v>
      </x:c>
      <x:c r="C38" s="41" t="str">
        <x:v>Cleanup environment refusal</x:v>
      </x:c>
      <x:c r="D38" s="41" t="str">
        <x:v>Security</x:v>
      </x:c>
      <x:c r="E38" s="41" t="str">
        <x:v>Cleanup explicitly enabled</x:v>
      </x:c>
      <x:c r="F38" s="41" t="str">
        <x:v>Invoke cleanup with staging and production environments</x:v>
      </x:c>
      <x:c r="G38" s="41" t="str">
        <x:v>Command hard-refuses both environments</x:v>
      </x:c>
      <x:c r="H38" s="41" t="str">
        <x:v>Automated</x:v>
      </x:c>
      <x:c r="I38" s="41" t="str">
        <x:v>pytest tests/test_maintenance.py::test_cleanup_is_refused_outside_local_and_test</x:v>
      </x:c>
      <x:c r="J38" s="41" t="str">
        <x:v>Critical</x:v>
      </x:c>
      <x:c r="K38" s="41" t="str">
        <x:v>Passed</x:v>
      </x:c>
      <x:c r="L38" s="41" t="str">
        <x:v>Yes</x:v>
      </x:c>
      <x:c r="M38" s="41" t="str">
        <x:v>Local production refusal verified</x:v>
      </x:c>
    </x:row>
    <x:row r="39" ht="54" customHeight="1">
      <x:c r="A39" s="41" t="str">
        <x:v>TC-P01-016</x:v>
      </x:c>
      <x:c r="B39" s="41" t="str">
        <x:v>P01</x:v>
      </x:c>
      <x:c r="C39" s="41" t="str">
        <x:v>Cleanup enablement guard</x:v>
      </x:c>
      <x:c r="D39" s="41" t="str">
        <x:v>Security</x:v>
      </x:c>
      <x:c r="E39" s="41" t="str">
        <x:v>Cleanup disabled</x:v>
      </x:c>
      <x:c r="F39" s="41" t="str">
        <x:v>Invoke cleanup without enablement flag</x:v>
      </x:c>
      <x:c r="G39" s="41" t="str">
        <x:v>Command refuses execution while disabled</x:v>
      </x:c>
      <x:c r="H39" s="41" t="str">
        <x:v>Automated</x:v>
      </x:c>
      <x:c r="I39" s="41" t="str">
        <x:v>pytest tests/test_maintenance.py::test_cleanup_must_be_explicitly_enabled</x:v>
      </x:c>
      <x:c r="J39" s="41" t="str">
        <x:v>Critical</x:v>
      </x:c>
      <x:c r="K39" s="41" t="str">
        <x:v>Passed</x:v>
      </x:c>
      <x:c r="L39" s="41" t="str">
        <x:v>Yes</x:v>
      </x:c>
      <x:c r="M39" s="41" t="str">
        <x:v>Local run 2026-08-26</x:v>
      </x:c>
    </x:row>
    <x:row r="40" ht="54" customHeight="1">
      <x:c r="A40" s="41" t="str">
        <x:v>TC-P01-017</x:v>
      </x:c>
      <x:c r="B40" s="41" t="str">
        <x:v>P01</x:v>
      </x:c>
      <x:c r="C40" s="41" t="str">
        <x:v>Test-session teardown isolation</x:v>
      </x:c>
      <x:c r="D40" s="41" t="str">
        <x:v>Database</x:v>
      </x:c>
      <x:c r="E40" s="41" t="str">
        <x:v>Development database session count recorded</x:v>
      </x:c>
      <x:c r="F40" s="41" t="str">
        <x:v>Run login test; recount auth_sessions</x:v>
      </x:c>
      <x:c r="G40" s="41" t="str">
        <x:v>Test-created sessions are removed and total count does not increase</x:v>
      </x:c>
      <x:c r="H40" s="41" t="str">
        <x:v>Automated</x:v>
      </x:c>
      <x:c r="I40" s="41" t="str">
        <x:v>pytest login test; compare auth_sessions count</x:v>
      </x:c>
      <x:c r="J40" s="41" t="str">
        <x:v>High</x:v>
      </x:c>
      <x:c r="K40" s="41" t="str">
        <x:v>Passed</x:v>
      </x:c>
      <x:c r="L40" s="41" t="str">
        <x:v>Yes</x:v>
      </x:c>
      <x:c r="M40" s="41" t="str">
        <x:v>Count remained 90 after repeated login test</x:v>
      </x:c>
    </x:row>
    <x:row r="41" ht="54" customHeight="1">
      <x:c r="A41" s="41" t="str">
        <x:v>TC-P01-018</x:v>
      </x:c>
      <x:c r="B41" s="41" t="str">
        <x:v>P01</x:v>
      </x:c>
      <x:c r="C41" s="41" t="str">
        <x:v>Identity migration rollback/replay</x:v>
      </x:c>
      <x:c r="D41" s="41" t="str">
        <x:v>Database</x:v>
      </x:c>
      <x:c r="E41" s="41" t="str">
        <x:v>PostgreSQL 16 available</x:v>
      </x:c>
      <x:c r="F41" s="41" t="str">
        <x:v>Upgrade through 0004; downgrade; replay to head</x:v>
      </x:c>
      <x:c r="G41" s="41" t="str">
        <x:v>Identity, manager and cleanup indexes migrate reversibly</x:v>
      </x:c>
      <x:c r="H41" s="41" t="str">
        <x:v>Automated</x:v>
      </x:c>
      <x:c r="I41" s="41" t="str">
        <x:v>alembic downgrade 20260825_0003; alembic upgrade head</x:v>
      </x:c>
      <x:c r="J41" s="41" t="str">
        <x:v>Critical</x:v>
      </x:c>
      <x:c r="K41" s="41" t="str">
        <x:v>Passed</x:v>
      </x:c>
      <x:c r="L41" s="41" t="str">
        <x:v>Yes</x:v>
      </x:c>
      <x:c r="M41" s="41" t="str">
        <x:v>Migration upgrade/downgrade/replay passed</x:v>
      </x:c>
    </x:row>
    <x:row r="42" ht="54" customHeight="1">
      <x:c r="A42" s="41" t="str">
        <x:v>TC-P01-019</x:v>
      </x:c>
      <x:c r="B42" s="41" t="str">
        <x:v>P01</x:v>
      </x:c>
      <x:c r="C42" s="41" t="str">
        <x:v>Backend quality gate</x:v>
      </x:c>
      <x:c r="D42" s="41" t="str">
        <x:v>Quality</x:v>
      </x:c>
      <x:c r="E42" s="41" t="str">
        <x:v>Development dependencies and PostgreSQL available</x:v>
      </x:c>
      <x:c r="F42" s="41" t="str">
        <x:v>Run Ruff and full suite with coverage threshold</x:v>
      </x:c>
      <x:c r="G42" s="41" t="str">
        <x:v>Ruff passes; 23 tests pass; coverage is at least 85%</x:v>
      </x:c>
      <x:c r="H42" s="41" t="str">
        <x:v>Automated</x:v>
      </x:c>
      <x:c r="I42" s="41" t="str">
        <x:v>ruff check api tests migrations; pytest --cov-fail-under=85</x:v>
      </x:c>
      <x:c r="J42" s="41" t="str">
        <x:v>Critical</x:v>
      </x:c>
      <x:c r="K42" s="41" t="str">
        <x:v>Passed</x:v>
      </x:c>
      <x:c r="L42" s="41" t="str">
        <x:v>Yes</x:v>
      </x:c>
      <x:c r="M42" s="41" t="str">
        <x:v>23 passed; 90.46% coverage</x:v>
      </x:c>
    </x:row>
    <x:row r="43" ht="54" customHeight="1">
      <x:c r="A43" s="41" t="str">
        <x:v>TC-P01-020</x:v>
      </x:c>
      <x:c r="B43" s="41" t="str">
        <x:v>P01</x:v>
      </x:c>
      <x:c r="C43" s="41" t="str">
        <x:v>Authenticated administration UI</x:v>
      </x:c>
      <x:c r="D43" s="41" t="str">
        <x:v>UI</x:v>
      </x:c>
      <x:c r="E43" s="41" t="str">
        <x:v>API, frontend and administrator session</x:v>
      </x:c>
      <x:c r="F43" s="41" t="str">
        <x:v>Open Users, Roles &amp; Permissions and Departments; exercise menus and add modals</x:v>
      </x:c>
      <x:c r="G43" s="41" t="str">
        <x:v>Lists align; action popovers float; all four modals are contained</x:v>
      </x:c>
      <x:c r="H43" s="41" t="str">
        <x:v>Manual</x:v>
      </x:c>
      <x:c r="I43" s="41" t="str">
        <x:v>Browser walkthrough at http://127.0.0.1:5175</x:v>
      </x:c>
      <x:c r="J43" s="41" t="str">
        <x:v>High</x:v>
      </x:c>
      <x:c r="K43" s="41" t="str">
        <x:v>Passed</x:v>
      </x:c>
      <x:c r="L43" s="41" t="str">
        <x:v>Yes</x:v>
      </x:c>
      <x:c r="M43" s="41" t="str">
        <x:v>Authenticated desktop audit passed</x:v>
      </x:c>
    </x:row>
    <x:row r="44" ht="54" customHeight="1">
      <x:c r="A44" s="41" t="str">
        <x:v>TC-P01-021</x:v>
      </x:c>
      <x:c r="B44" s="41" t="str">
        <x:v>P01</x:v>
      </x:c>
      <x:c r="C44" s="41" t="str">
        <x:v>Standalone frontend regression</x:v>
      </x:c>
      <x:c r="D44" s="41" t="str">
        <x:v>Resilience</x:v>
      </x:c>
      <x:c r="E44" s="41" t="str">
        <x:v>Frontend-only branch dependencies installed</x:v>
      </x:c>
      <x:c r="F44" s="41" t="str">
        <x:v>Build and launch with VITE_DATA_SOURCE=mock; open four routes</x:v>
      </x:c>
      <x:c r="G44" s="41" t="str">
        <x:v>Build succeeds; routes render Mock data with no horizontal overflow</x:v>
      </x:c>
      <x:c r="H44" s="41" t="str">
        <x:v>Automated</x:v>
      </x:c>
      <x:c r="I44" s="41" t="str">
        <x:v>pnpm build; VITE_DATA_SOURCE=mock vite --port 5177</x:v>
      </x:c>
      <x:c r="J44" s="41" t="str">
        <x:v>Critical</x:v>
      </x:c>
      <x:c r="K44" s="41" t="str">
        <x:v>Passed</x:v>
      </x:c>
      <x:c r="L44" s="41" t="str">
        <x:v>Yes</x:v>
      </x:c>
      <x:c r="M44" s="41" t="str">
        <x:v>Frontend commit 7043f0f validated 2026-08-27</x:v>
      </x:c>
    </x:row>
    <x:row r="45" ht="54" customHeight="1">
      <x:c r="A45" s="41" t="str">
        <x:v>TC-P01-022</x:v>
      </x:c>
      <x:c r="B45" s="41" t="str">
        <x:v>P01</x:v>
      </x:c>
      <x:c r="C45" s="41" t="str">
        <x:v>Department report Excel export</x:v>
      </x:c>
      <x:c r="D45" s="41" t="str">
        <x:v>UI</x:v>
      </x:c>
      <x:c r="E45" s="41" t="str">
        <x:v>Dashboard report data available</x:v>
      </x:c>
      <x:c r="F45" s="41" t="str">
        <x:v>Apply filters and select Export Excel</x:v>
      </x:c>
      <x:c r="G45" s="41" t="str">
        <x:v>Browser downloads a valid XLSX report using active filters</x:v>
      </x:c>
      <x:c r="H45" s="41" t="str">
        <x:v>Manual</x:v>
      </x:c>
      <x:c r="I45" s="41" t="str">
        <x:v>Dashboard &gt; Department Transaction Report &gt; Export Excel</x:v>
      </x:c>
      <x:c r="J45" s="41" t="str">
        <x:v>High</x:v>
      </x:c>
      <x:c r="K45" s="41" t="str">
        <x:v>Passed</x:v>
      </x:c>
      <x:c r="L45" s="41" t="str">
        <x:v>Yes</x:v>
      </x:c>
      <x:c r="M45" s="41" t="str">
        <x:v>XLSX export implementation and build passed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6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  <x:dataValidation type="list" sqref="J24:J45">
      <x:formula1>"Critical,High,Medium,Low"</x:formula1>
    </x:dataValidation>
    <x:dataValidation type="list" sqref="K24:K45">
      <x:formula1>"Not Run,Passed,Failed,Blocked,N/A"</x:formula1>
    </x:dataValidation>
    <x:dataValidation type="list" sqref="L24:L45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4cba769e1a4cd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 t="str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 t="str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 t="str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 t="str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 t="str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 t="str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 t="str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 t="str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 t="str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 t="str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 t="str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 t="str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 t="str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 t="str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 t="str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 t="str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 t="str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 t="str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 t="str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 t="str"/>
      <x:c r="K23" s="24" t="str">
        <x:v>No</x:v>
      </x:c>
      <x:c r="L23" s="24" t="str">
        <x:v>Evidence recorded in docs/phase-00-validation.md</x:v>
      </x:c>
    </x:row>
    <x:row r="24" ht="54" customHeight="1">
      <x:c r="A24" s="41" t="str">
        <x:v>RUN-20260826-021</x:v>
      </x:c>
      <x:c r="B24" s="41" t="str">
        <x:v>TC-P01-001</x:v>
      </x:c>
      <x:c r="C24" s="42" t="n">
        <x:v>46260</x:v>
      </x:c>
      <x:c r="D24" s="41" t="str">
        <x:v>Local Windows / Docker Desktop / PostgreSQL 16</x:v>
      </x:c>
      <x:c r="E24" s="41" t="str">
        <x:v>a796a43</x:v>
      </x:c>
      <x:c r="F24" s="41" t="str">
        <x:v>Executed</x:v>
      </x:c>
      <x:c r="G24" s="41" t="str">
        <x:v>Passed</x:v>
      </x:c>
      <x:c r="H24" s="41" t="str">
        <x:v>Local run 2026-08-26</x:v>
      </x:c>
      <x:c r="I24" s="41" t="str">
        <x:v>Codex local audit</x:v>
      </x:c>
      <x:c r="J24" s="41"/>
      <x:c r="K24" s="41" t="str">
        <x:v>No</x:v>
      </x:c>
      <x:c r="L24" s="41" t="str">
        <x:v>Evidence recorded in docs/phase-01-plan.md and PROJECT_MANIFEST.md</x:v>
      </x:c>
    </x:row>
    <x:row r="25" ht="54" customHeight="1">
      <x:c r="A25" s="41" t="str">
        <x:v>RUN-20260826-022</x:v>
      </x:c>
      <x:c r="B25" s="41" t="str">
        <x:v>TC-P01-002</x:v>
      </x:c>
      <x:c r="C25" s="42" t="n">
        <x:v>46260</x:v>
      </x:c>
      <x:c r="D25" s="41" t="str">
        <x:v>Local Windows / Docker Desktop / PostgreSQL 16</x:v>
      </x:c>
      <x:c r="E25" s="41" t="str">
        <x:v>a796a43</x:v>
      </x:c>
      <x:c r="F25" s="41" t="str">
        <x:v>Executed</x:v>
      </x:c>
      <x:c r="G25" s="41" t="str">
        <x:v>Passed</x:v>
      </x:c>
      <x:c r="H25" s="41" t="str">
        <x:v>Local run 2026-08-26</x:v>
      </x:c>
      <x:c r="I25" s="41" t="str">
        <x:v>Codex local audit</x:v>
      </x:c>
      <x:c r="J25" s="41"/>
      <x:c r="K25" s="41" t="str">
        <x:v>No</x:v>
      </x:c>
      <x:c r="L25" s="41" t="str">
        <x:v>Evidence recorded in docs/phase-01-plan.md and PROJECT_MANIFEST.md</x:v>
      </x:c>
    </x:row>
    <x:row r="26" ht="54" customHeight="1">
      <x:c r="A26" s="41" t="str">
        <x:v>RUN-20260826-023</x:v>
      </x:c>
      <x:c r="B26" s="41" t="str">
        <x:v>TC-P01-003</x:v>
      </x:c>
      <x:c r="C26" s="42" t="n">
        <x:v>46260</x:v>
      </x:c>
      <x:c r="D26" s="41" t="str">
        <x:v>Local Windows / Docker Desktop / PostgreSQL 16</x:v>
      </x:c>
      <x:c r="E26" s="41" t="str">
        <x:v>a796a43</x:v>
      </x:c>
      <x:c r="F26" s="41" t="str">
        <x:v>Executed</x:v>
      </x:c>
      <x:c r="G26" s="41" t="str">
        <x:v>Passed</x:v>
      </x:c>
      <x:c r="H26" s="41" t="str">
        <x:v>Local run 2026-08-26</x:v>
      </x:c>
      <x:c r="I26" s="41" t="str">
        <x:v>Codex local audit</x:v>
      </x:c>
      <x:c r="J26" s="41"/>
      <x:c r="K26" s="41" t="str">
        <x:v>No</x:v>
      </x:c>
      <x:c r="L26" s="41" t="str">
        <x:v>Evidence recorded in docs/phase-01-plan.md and PROJECT_MANIFEST.md</x:v>
      </x:c>
    </x:row>
    <x:row r="27" ht="54" customHeight="1">
      <x:c r="A27" s="41" t="str">
        <x:v>RUN-20260826-024</x:v>
      </x:c>
      <x:c r="B27" s="41" t="str">
        <x:v>TC-P01-004</x:v>
      </x:c>
      <x:c r="C27" s="42" t="n">
        <x:v>46260</x:v>
      </x:c>
      <x:c r="D27" s="41" t="str">
        <x:v>Local Windows / Docker Desktop / PostgreSQL 16</x:v>
      </x:c>
      <x:c r="E27" s="41" t="str">
        <x:v>a796a43</x:v>
      </x:c>
      <x:c r="F27" s="41" t="str">
        <x:v>Executed</x:v>
      </x:c>
      <x:c r="G27" s="41" t="str">
        <x:v>Passed</x:v>
      </x:c>
      <x:c r="H27" s="41" t="str">
        <x:v>Local run 2026-08-26</x:v>
      </x:c>
      <x:c r="I27" s="41" t="str">
        <x:v>Codex local audit</x:v>
      </x:c>
      <x:c r="J27" s="41"/>
      <x:c r="K27" s="41" t="str">
        <x:v>No</x:v>
      </x:c>
      <x:c r="L27" s="41" t="str">
        <x:v>Evidence recorded in docs/phase-01-plan.md and PROJECT_MANIFEST.md</x:v>
      </x:c>
    </x:row>
    <x:row r="28" ht="54" customHeight="1">
      <x:c r="A28" s="41" t="str">
        <x:v>RUN-20260826-025</x:v>
      </x:c>
      <x:c r="B28" s="41" t="str">
        <x:v>TC-P01-005</x:v>
      </x:c>
      <x:c r="C28" s="42" t="n">
        <x:v>46260</x:v>
      </x:c>
      <x:c r="D28" s="41" t="str">
        <x:v>Local Windows / Docker Desktop / PostgreSQL 16</x:v>
      </x:c>
      <x:c r="E28" s="41" t="str">
        <x:v>a796a43</x:v>
      </x:c>
      <x:c r="F28" s="41" t="str">
        <x:v>Executed</x:v>
      </x:c>
      <x:c r="G28" s="41" t="str">
        <x:v>Passed</x:v>
      </x:c>
      <x:c r="H28" s="41" t="str">
        <x:v>Local run 2026-08-26</x:v>
      </x:c>
      <x:c r="I28" s="41" t="str">
        <x:v>Codex local audit</x:v>
      </x:c>
      <x:c r="J28" s="41"/>
      <x:c r="K28" s="41" t="str">
        <x:v>No</x:v>
      </x:c>
      <x:c r="L28" s="41" t="str">
        <x:v>Evidence recorded in docs/phase-01-plan.md and PROJECT_MANIFEST.md</x:v>
      </x:c>
    </x:row>
    <x:row r="29" ht="54" customHeight="1">
      <x:c r="A29" s="41" t="str">
        <x:v>RUN-20260826-026</x:v>
      </x:c>
      <x:c r="B29" s="41" t="str">
        <x:v>TC-P01-006</x:v>
      </x:c>
      <x:c r="C29" s="42" t="n">
        <x:v>46260</x:v>
      </x:c>
      <x:c r="D29" s="41" t="str">
        <x:v>Local Windows / Docker Desktop / PostgreSQL 16</x:v>
      </x:c>
      <x:c r="E29" s="41" t="str">
        <x:v>a796a43</x:v>
      </x:c>
      <x:c r="F29" s="41" t="str">
        <x:v>Executed</x:v>
      </x:c>
      <x:c r="G29" s="41" t="str">
        <x:v>Passed</x:v>
      </x:c>
      <x:c r="H29" s="41" t="str">
        <x:v>Local run 2026-08-26</x:v>
      </x:c>
      <x:c r="I29" s="41" t="str">
        <x:v>Codex local audit</x:v>
      </x:c>
      <x:c r="J29" s="41"/>
      <x:c r="K29" s="41" t="str">
        <x:v>No</x:v>
      </x:c>
      <x:c r="L29" s="41" t="str">
        <x:v>Evidence recorded in docs/phase-01-plan.md and PROJECT_MANIFEST.md</x:v>
      </x:c>
    </x:row>
    <x:row r="30" ht="54" customHeight="1">
      <x:c r="A30" s="41" t="str">
        <x:v>RUN-20260826-027</x:v>
      </x:c>
      <x:c r="B30" s="41" t="str">
        <x:v>TC-P01-007</x:v>
      </x:c>
      <x:c r="C30" s="42" t="n">
        <x:v>46260</x:v>
      </x:c>
      <x:c r="D30" s="41" t="str">
        <x:v>Local Windows / Docker Desktop / PostgreSQL 16</x:v>
      </x:c>
      <x:c r="E30" s="41" t="str">
        <x:v>a796a43</x:v>
      </x:c>
      <x:c r="F30" s="41" t="str">
        <x:v>Executed</x:v>
      </x:c>
      <x:c r="G30" s="41" t="str">
        <x:v>Passed</x:v>
      </x:c>
      <x:c r="H30" s="41" t="str">
        <x:v>Local run 2026-08-26</x:v>
      </x:c>
      <x:c r="I30" s="41" t="str">
        <x:v>Codex local audit</x:v>
      </x:c>
      <x:c r="J30" s="41"/>
      <x:c r="K30" s="41" t="str">
        <x:v>No</x:v>
      </x:c>
      <x:c r="L30" s="41" t="str">
        <x:v>Evidence recorded in docs/phase-01-plan.md and PROJECT_MANIFEST.md</x:v>
      </x:c>
    </x:row>
    <x:row r="31" ht="54" customHeight="1">
      <x:c r="A31" s="41" t="str">
        <x:v>RUN-20260826-028</x:v>
      </x:c>
      <x:c r="B31" s="41" t="str">
        <x:v>TC-P01-008</x:v>
      </x:c>
      <x:c r="C31" s="42" t="n">
        <x:v>46260</x:v>
      </x:c>
      <x:c r="D31" s="41" t="str">
        <x:v>Local Windows / Docker Desktop / PostgreSQL 16</x:v>
      </x:c>
      <x:c r="E31" s="41" t="str">
        <x:v>a796a43</x:v>
      </x:c>
      <x:c r="F31" s="41" t="str">
        <x:v>Executed</x:v>
      </x:c>
      <x:c r="G31" s="41" t="str">
        <x:v>Passed</x:v>
      </x:c>
      <x:c r="H31" s="41" t="str">
        <x:v>Local run 2026-08-26</x:v>
      </x:c>
      <x:c r="I31" s="41" t="str">
        <x:v>Codex local audit</x:v>
      </x:c>
      <x:c r="J31" s="41"/>
      <x:c r="K31" s="41" t="str">
        <x:v>No</x:v>
      </x:c>
      <x:c r="L31" s="41" t="str">
        <x:v>Evidence recorded in docs/phase-01-plan.md and PROJECT_MANIFEST.md</x:v>
      </x:c>
    </x:row>
    <x:row r="32" ht="54" customHeight="1">
      <x:c r="A32" s="41" t="str">
        <x:v>RUN-20260826-029</x:v>
      </x:c>
      <x:c r="B32" s="41" t="str">
        <x:v>TC-P01-009</x:v>
      </x:c>
      <x:c r="C32" s="42" t="n">
        <x:v>46260</x:v>
      </x:c>
      <x:c r="D32" s="41" t="str">
        <x:v>Local Windows / Docker Desktop / PostgreSQL 16</x:v>
      </x:c>
      <x:c r="E32" s="41" t="str">
        <x:v>a796a43</x:v>
      </x:c>
      <x:c r="F32" s="41" t="str">
        <x:v>Executed</x:v>
      </x:c>
      <x:c r="G32" s="41" t="str">
        <x:v>Passed</x:v>
      </x:c>
      <x:c r="H32" s="41" t="str">
        <x:v>Local run 2026-08-26</x:v>
      </x:c>
      <x:c r="I32" s="41" t="str">
        <x:v>Codex local audit</x:v>
      </x:c>
      <x:c r="J32" s="41"/>
      <x:c r="K32" s="41" t="str">
        <x:v>No</x:v>
      </x:c>
      <x:c r="L32" s="41" t="str">
        <x:v>Evidence recorded in docs/phase-01-plan.md and PROJECT_MANIFEST.md</x:v>
      </x:c>
    </x:row>
    <x:row r="33" ht="54" customHeight="1">
      <x:c r="A33" s="41" t="str">
        <x:v>RUN-20260826-030</x:v>
      </x:c>
      <x:c r="B33" s="41" t="str">
        <x:v>TC-P01-010</x:v>
      </x:c>
      <x:c r="C33" s="42" t="n">
        <x:v>46260</x:v>
      </x:c>
      <x:c r="D33" s="41" t="str">
        <x:v>Local Windows / Docker Desktop / PostgreSQL 16</x:v>
      </x:c>
      <x:c r="E33" s="41" t="str">
        <x:v>a796a43</x:v>
      </x:c>
      <x:c r="F33" s="41" t="str">
        <x:v>Executed</x:v>
      </x:c>
      <x:c r="G33" s="41" t="str">
        <x:v>Passed</x:v>
      </x:c>
      <x:c r="H33" s="41" t="str">
        <x:v>Local run 2026-08-26</x:v>
      </x:c>
      <x:c r="I33" s="41" t="str">
        <x:v>Codex local audit</x:v>
      </x:c>
      <x:c r="J33" s="41"/>
      <x:c r="K33" s="41" t="str">
        <x:v>No</x:v>
      </x:c>
      <x:c r="L33" s="41" t="str">
        <x:v>Evidence recorded in docs/phase-01-plan.md and PROJECT_MANIFEST.md</x:v>
      </x:c>
    </x:row>
    <x:row r="34" ht="54" customHeight="1">
      <x:c r="A34" s="41" t="str">
        <x:v>RUN-20260826-031</x:v>
      </x:c>
      <x:c r="B34" s="41" t="str">
        <x:v>TC-P01-011</x:v>
      </x:c>
      <x:c r="C34" s="42" t="n">
        <x:v>46260</x:v>
      </x:c>
      <x:c r="D34" s="41" t="str">
        <x:v>Local Windows / Docker Desktop / PostgreSQL 16</x:v>
      </x:c>
      <x:c r="E34" s="41" t="str">
        <x:v>a796a43</x:v>
      </x:c>
      <x:c r="F34" s="41" t="str">
        <x:v>Executed</x:v>
      </x:c>
      <x:c r="G34" s="41" t="str">
        <x:v>Passed</x:v>
      </x:c>
      <x:c r="H34" s="41" t="str">
        <x:v>Local run 2026-08-26</x:v>
      </x:c>
      <x:c r="I34" s="41" t="str">
        <x:v>Codex local audit</x:v>
      </x:c>
      <x:c r="J34" s="41"/>
      <x:c r="K34" s="41" t="str">
        <x:v>No</x:v>
      </x:c>
      <x:c r="L34" s="41" t="str">
        <x:v>Evidence recorded in docs/phase-01-plan.md and PROJECT_MANIFEST.md</x:v>
      </x:c>
    </x:row>
    <x:row r="35" ht="54" customHeight="1">
      <x:c r="A35" s="41" t="str">
        <x:v>RUN-20260826-032</x:v>
      </x:c>
      <x:c r="B35" s="41" t="str">
        <x:v>TC-P01-012</x:v>
      </x:c>
      <x:c r="C35" s="42" t="n">
        <x:v>46260</x:v>
      </x:c>
      <x:c r="D35" s="41" t="str">
        <x:v>Local Windows / Docker Desktop / PostgreSQL 16</x:v>
      </x:c>
      <x:c r="E35" s="41" t="str">
        <x:v>a796a43</x:v>
      </x:c>
      <x:c r="F35" s="41" t="str">
        <x:v>Executed</x:v>
      </x:c>
      <x:c r="G35" s="41" t="str">
        <x:v>Passed</x:v>
      </x:c>
      <x:c r="H35" s="41" t="str">
        <x:v>Local run 2026-08-26</x:v>
      </x:c>
      <x:c r="I35" s="41" t="str">
        <x:v>Codex local audit</x:v>
      </x:c>
      <x:c r="J35" s="41"/>
      <x:c r="K35" s="41" t="str">
        <x:v>No</x:v>
      </x:c>
      <x:c r="L35" s="41" t="str">
        <x:v>Evidence recorded in docs/phase-01-plan.md and PROJECT_MANIFEST.md</x:v>
      </x:c>
    </x:row>
    <x:row r="36" ht="54" customHeight="1">
      <x:c r="A36" s="41" t="str">
        <x:v>RUN-20260826-033</x:v>
      </x:c>
      <x:c r="B36" s="41" t="str">
        <x:v>TC-P01-013</x:v>
      </x:c>
      <x:c r="C36" s="42" t="n">
        <x:v>46260</x:v>
      </x:c>
      <x:c r="D36" s="41" t="str">
        <x:v>Local Windows / Docker Desktop / PostgreSQL 16</x:v>
      </x:c>
      <x:c r="E36" s="41" t="str">
        <x:v>a796a43</x:v>
      </x:c>
      <x:c r="F36" s="41" t="str">
        <x:v>Executed</x:v>
      </x:c>
      <x:c r="G36" s="41" t="str">
        <x:v>Passed</x:v>
      </x:c>
      <x:c r="H36" s="41" t="str">
        <x:v>Local run 2026-08-26</x:v>
      </x:c>
      <x:c r="I36" s="41" t="str">
        <x:v>Codex local audit</x:v>
      </x:c>
      <x:c r="J36" s="41"/>
      <x:c r="K36" s="41" t="str">
        <x:v>No</x:v>
      </x:c>
      <x:c r="L36" s="41" t="str">
        <x:v>Evidence recorded in docs/phase-01-plan.md and PROJECT_MANIFEST.md</x:v>
      </x:c>
    </x:row>
    <x:row r="37" ht="54" customHeight="1">
      <x:c r="A37" s="41" t="str">
        <x:v>RUN-20260826-034</x:v>
      </x:c>
      <x:c r="B37" s="41" t="str">
        <x:v>TC-P01-014</x:v>
      </x:c>
      <x:c r="C37" s="42" t="n">
        <x:v>46260</x:v>
      </x:c>
      <x:c r="D37" s="41" t="str">
        <x:v>Local Windows / Docker Desktop / PostgreSQL 16</x:v>
      </x:c>
      <x:c r="E37" s="41" t="str">
        <x:v>a796a43</x:v>
      </x:c>
      <x:c r="F37" s="41" t="str">
        <x:v>Executed</x:v>
      </x:c>
      <x:c r="G37" s="41" t="str">
        <x:v>Passed</x:v>
      </x:c>
      <x:c r="H37" s="41" t="str">
        <x:v>Local run 2026-08-26</x:v>
      </x:c>
      <x:c r="I37" s="41" t="str">
        <x:v>Codex local audit</x:v>
      </x:c>
      <x:c r="J37" s="41"/>
      <x:c r="K37" s="41" t="str">
        <x:v>No</x:v>
      </x:c>
      <x:c r="L37" s="41" t="str">
        <x:v>Evidence recorded in docs/phase-01-plan.md and PROJECT_MANIFEST.md</x:v>
      </x:c>
    </x:row>
    <x:row r="38" ht="54" customHeight="1">
      <x:c r="A38" s="41" t="str">
        <x:v>RUN-20260826-035</x:v>
      </x:c>
      <x:c r="B38" s="41" t="str">
        <x:v>TC-P01-015</x:v>
      </x:c>
      <x:c r="C38" s="42" t="n">
        <x:v>46260</x:v>
      </x:c>
      <x:c r="D38" s="41" t="str">
        <x:v>Local Windows / Docker Desktop / PostgreSQL 16</x:v>
      </x:c>
      <x:c r="E38" s="41" t="str">
        <x:v>a796a43</x:v>
      </x:c>
      <x:c r="F38" s="41" t="str">
        <x:v>Executed</x:v>
      </x:c>
      <x:c r="G38" s="41" t="str">
        <x:v>Passed</x:v>
      </x:c>
      <x:c r="H38" s="41" t="str">
        <x:v>Local production refusal verified</x:v>
      </x:c>
      <x:c r="I38" s="41" t="str">
        <x:v>Codex local audit</x:v>
      </x:c>
      <x:c r="J38" s="41"/>
      <x:c r="K38" s="41" t="str">
        <x:v>No</x:v>
      </x:c>
      <x:c r="L38" s="41" t="str">
        <x:v>Evidence recorded in docs/phase-01-plan.md and PROJECT_MANIFEST.md</x:v>
      </x:c>
    </x:row>
    <x:row r="39" ht="54" customHeight="1">
      <x:c r="A39" s="41" t="str">
        <x:v>RUN-20260826-036</x:v>
      </x:c>
      <x:c r="B39" s="41" t="str">
        <x:v>TC-P01-016</x:v>
      </x:c>
      <x:c r="C39" s="42" t="n">
        <x:v>46260</x:v>
      </x:c>
      <x:c r="D39" s="41" t="str">
        <x:v>Local Windows / Docker Desktop / PostgreSQL 16</x:v>
      </x:c>
      <x:c r="E39" s="41" t="str">
        <x:v>a796a43</x:v>
      </x:c>
      <x:c r="F39" s="41" t="str">
        <x:v>Executed</x:v>
      </x:c>
      <x:c r="G39" s="41" t="str">
        <x:v>Passed</x:v>
      </x:c>
      <x:c r="H39" s="41" t="str">
        <x:v>Local run 2026-08-26</x:v>
      </x:c>
      <x:c r="I39" s="41" t="str">
        <x:v>Codex local audit</x:v>
      </x:c>
      <x:c r="J39" s="41"/>
      <x:c r="K39" s="41" t="str">
        <x:v>No</x:v>
      </x:c>
      <x:c r="L39" s="41" t="str">
        <x:v>Evidence recorded in docs/phase-01-plan.md and PROJECT_MANIFEST.md</x:v>
      </x:c>
    </x:row>
    <x:row r="40" ht="54" customHeight="1">
      <x:c r="A40" s="41" t="str">
        <x:v>RUN-20260826-037</x:v>
      </x:c>
      <x:c r="B40" s="41" t="str">
        <x:v>TC-P01-017</x:v>
      </x:c>
      <x:c r="C40" s="42" t="n">
        <x:v>46260</x:v>
      </x:c>
      <x:c r="D40" s="41" t="str">
        <x:v>Local Windows / Docker Desktop / PostgreSQL 16</x:v>
      </x:c>
      <x:c r="E40" s="41" t="str">
        <x:v>a796a43</x:v>
      </x:c>
      <x:c r="F40" s="41" t="str">
        <x:v>Executed</x:v>
      </x:c>
      <x:c r="G40" s="41" t="str">
        <x:v>Passed</x:v>
      </x:c>
      <x:c r="H40" s="41" t="str">
        <x:v>Count remained 90 after repeated login test</x:v>
      </x:c>
      <x:c r="I40" s="41" t="str">
        <x:v>Codex local audit</x:v>
      </x:c>
      <x:c r="J40" s="41"/>
      <x:c r="K40" s="41" t="str">
        <x:v>No</x:v>
      </x:c>
      <x:c r="L40" s="41" t="str">
        <x:v>Evidence recorded in docs/phase-01-plan.md and PROJECT_MANIFEST.md</x:v>
      </x:c>
    </x:row>
    <x:row r="41" ht="54" customHeight="1">
      <x:c r="A41" s="41" t="str">
        <x:v>RUN-20260826-038</x:v>
      </x:c>
      <x:c r="B41" s="41" t="str">
        <x:v>TC-P01-018</x:v>
      </x:c>
      <x:c r="C41" s="42" t="n">
        <x:v>46260</x:v>
      </x:c>
      <x:c r="D41" s="41" t="str">
        <x:v>Local Windows / Docker Desktop / PostgreSQL 16</x:v>
      </x:c>
      <x:c r="E41" s="41" t="str">
        <x:v>a796a43</x:v>
      </x:c>
      <x:c r="F41" s="41" t="str">
        <x:v>Executed</x:v>
      </x:c>
      <x:c r="G41" s="41" t="str">
        <x:v>Passed</x:v>
      </x:c>
      <x:c r="H41" s="41" t="str">
        <x:v>Migration upgrade/downgrade/replay passed</x:v>
      </x:c>
      <x:c r="I41" s="41" t="str">
        <x:v>Codex local audit</x:v>
      </x:c>
      <x:c r="J41" s="41"/>
      <x:c r="K41" s="41" t="str">
        <x:v>No</x:v>
      </x:c>
      <x:c r="L41" s="41" t="str">
        <x:v>Evidence recorded in docs/phase-01-plan.md and PROJECT_MANIFEST.md</x:v>
      </x:c>
    </x:row>
    <x:row r="42" ht="54" customHeight="1">
      <x:c r="A42" s="41" t="str">
        <x:v>RUN-20260826-039</x:v>
      </x:c>
      <x:c r="B42" s="41" t="str">
        <x:v>TC-P01-019</x:v>
      </x:c>
      <x:c r="C42" s="42" t="n">
        <x:v>46260</x:v>
      </x:c>
      <x:c r="D42" s="41" t="str">
        <x:v>Local Windows / Docker Desktop / PostgreSQL 16</x:v>
      </x:c>
      <x:c r="E42" s="41" t="str">
        <x:v>a796a43</x:v>
      </x:c>
      <x:c r="F42" s="41" t="str">
        <x:v>Executed</x:v>
      </x:c>
      <x:c r="G42" s="41" t="str">
        <x:v>Passed</x:v>
      </x:c>
      <x:c r="H42" s="41" t="str">
        <x:v>23 passed; 90.46% coverage</x:v>
      </x:c>
      <x:c r="I42" s="41" t="str">
        <x:v>Codex local audit</x:v>
      </x:c>
      <x:c r="J42" s="41"/>
      <x:c r="K42" s="41" t="str">
        <x:v>No</x:v>
      </x:c>
      <x:c r="L42" s="41" t="str">
        <x:v>Evidence recorded in docs/phase-01-plan.md and PROJECT_MANIFEST.md</x:v>
      </x:c>
    </x:row>
    <x:row r="43" ht="54" customHeight="1">
      <x:c r="A43" s="41" t="str">
        <x:v>RUN-20260826-040</x:v>
      </x:c>
      <x:c r="B43" s="41" t="str">
        <x:v>TC-P01-020</x:v>
      </x:c>
      <x:c r="C43" s="42" t="n">
        <x:v>46260</x:v>
      </x:c>
      <x:c r="D43" s="41" t="str">
        <x:v>Local Windows / Docker Desktop / PostgreSQL 16</x:v>
      </x:c>
      <x:c r="E43" s="41" t="str">
        <x:v>a796a43</x:v>
      </x:c>
      <x:c r="F43" s="41" t="str">
        <x:v>Executed</x:v>
      </x:c>
      <x:c r="G43" s="41" t="str">
        <x:v>Passed</x:v>
      </x:c>
      <x:c r="H43" s="41" t="str">
        <x:v>Authenticated desktop audit passed</x:v>
      </x:c>
      <x:c r="I43" s="41" t="str">
        <x:v>Codex local audit</x:v>
      </x:c>
      <x:c r="J43" s="41"/>
      <x:c r="K43" s="41" t="str">
        <x:v>No</x:v>
      </x:c>
      <x:c r="L43" s="41" t="str">
        <x:v>Evidence recorded in docs/phase-01-plan.md and PROJECT_MANIFEST.md</x:v>
      </x:c>
    </x:row>
    <x:row r="44" ht="54" customHeight="1">
      <x:c r="A44" s="41" t="str">
        <x:v>RUN-20260826-041</x:v>
      </x:c>
      <x:c r="B44" s="41" t="str">
        <x:v>TC-P01-021</x:v>
      </x:c>
      <x:c r="C44" s="42" t="n">
        <x:v>46260</x:v>
      </x:c>
      <x:c r="D44" s="41" t="str">
        <x:v>Frontend-only mock / Vite 7.0.7</x:v>
      </x:c>
      <x:c r="E44" s="41" t="str">
        <x:v>7043f0f</x:v>
      </x:c>
      <x:c r="F44" s="41" t="str">
        <x:v>Executed</x:v>
      </x:c>
      <x:c r="G44" s="41" t="str">
        <x:v>Passed</x:v>
      </x:c>
      <x:c r="H44" s="41" t="str">
        <x:v>Frontend commit 7043f0f validated 2026-08-27</x:v>
      </x:c>
      <x:c r="I44" s="41" t="str">
        <x:v>Codex local audit</x:v>
      </x:c>
      <x:c r="J44" s="41"/>
      <x:c r="K44" s="41" t="str">
        <x:v>No</x:v>
      </x:c>
      <x:c r="L44" s="41" t="str">
        <x:v>Evidence recorded in docs/phase-01-plan.md and PROJECT_MANIFEST.md</x:v>
      </x:c>
    </x:row>
    <x:row r="45" ht="54" customHeight="1">
      <x:c r="A45" s="41" t="str">
        <x:v>RUN-20260826-042</x:v>
      </x:c>
      <x:c r="B45" s="41" t="str">
        <x:v>TC-P01-022</x:v>
      </x:c>
      <x:c r="C45" s="42" t="n">
        <x:v>46260</x:v>
      </x:c>
      <x:c r="D45" s="41" t="str">
        <x:v>Local Windows / Docker Desktop / PostgreSQL 16</x:v>
      </x:c>
      <x:c r="E45" s="41" t="str">
        <x:v>a796a43</x:v>
      </x:c>
      <x:c r="F45" s="41" t="str">
        <x:v>Executed</x:v>
      </x:c>
      <x:c r="G45" s="41" t="str">
        <x:v>Passed</x:v>
      </x:c>
      <x:c r="H45" s="41" t="str">
        <x:v>XLSX export implementation and build passed</x:v>
      </x:c>
      <x:c r="I45" s="41" t="str">
        <x:v>Codex local audit</x:v>
      </x:c>
      <x:c r="J45" s="41"/>
      <x:c r="K45" s="41" t="str">
        <x:v>No</x:v>
      </x:c>
      <x:c r="L45" s="41" t="str">
        <x:v>Evidence recorded in docs/phase-01-plan.md and PROJECT_MANIFEST.md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6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  <x:dataValidation type="list" sqref="F24:F45">
      <x:formula1>"Not Run,Executed,Blocked"</x:formula1>
    </x:dataValidation>
    <x:dataValidation type="list" sqref="G24:G45">
      <x:formula1>"Not Run,Passed,Failed,Blocked,N/A"</x:formula1>
    </x:dataValidation>
    <x:dataValidation type="list" sqref="K24:K45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838d04c169454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  <x:row r="10" ht="54" customHeight="1">
      <x:c r="A10" s="41" t="str">
        <x:v>AG-P01-01</x:v>
      </x:c>
      <x:c r="B10" s="41" t="str">
        <x:v>P01</x:v>
      </x:c>
      <x:c r="C10" s="41" t="str">
        <x:v>Identity persistence</x:v>
      </x:c>
      <x:c r="D10" s="41" t="str">
        <x:v>Identity records and deterministic seed migrate repeatably</x:v>
      </x:c>
      <x:c r="E10" s="41" t="str">
        <x:v>TC-P01-002, TC-P01-018</x:v>
      </x:c>
      <x:c r="F10" s="41" t="str">
        <x:v>Yes</x:v>
      </x:c>
      <x:c r="G10" s="41" t="str">
        <x:v>Accepted</x:v>
      </x:c>
      <x:c r="H10" s="41" t="str">
        <x:v>Identity migrations and deterministic seed passed</x:v>
      </x:c>
      <x:c r="I10" s="42" t="n">
        <x:v>46260</x:v>
      </x:c>
      <x:c r="J10" s="41" t="str">
        <x:v>Paolo Ylag</x:v>
      </x:c>
    </x:row>
    <x:row r="11" ht="54" customHeight="1">
      <x:c r="A11" s="41" t="str">
        <x:v>AG-P01-02</x:v>
      </x:c>
      <x:c r="B11" s="41" t="str">
        <x:v>P01</x:v>
      </x:c>
      <x:c r="C11" s="41" t="str">
        <x:v>Authentication and sessions</x:v>
      </x:c>
      <x:c r="D11" s="41" t="str">
        <x:v>Local login, CSRF, logout, idle expiry and revocation are enforced</x:v>
      </x:c>
      <x:c r="E11" s="41" t="str">
        <x:v>TC-P01-001, TC-P01-003, TC-P01-004, TC-P01-007, TC-P01-010, TC-P01-011</x:v>
      </x:c>
      <x:c r="F11" s="41" t="str">
        <x:v>Yes</x:v>
      </x:c>
      <x:c r="G11" s="41" t="str">
        <x:v>Accepted</x:v>
      </x:c>
      <x:c r="H11" s="41" t="str">
        <x:v>Authentication and session security tests passed</x:v>
      </x:c>
      <x:c r="I11" s="42" t="n">
        <x:v>46260</x:v>
      </x:c>
      <x:c r="J11" s="41" t="str">
        <x:v>Paolo Ylag</x:v>
      </x:c>
    </x:row>
    <x:row r="12" ht="54" customHeight="1">
      <x:c r="A12" s="41" t="str">
        <x:v>AG-P01-03</x:v>
      </x:c>
      <x:c r="B12" s="41" t="str">
        <x:v>P01</x:v>
      </x:c>
      <x:c r="C12" s="41" t="str">
        <x:v>RBAC boundaries</x:v>
      </x:c>
      <x:c r="D12" s="41" t="str">
        <x:v>Role grants, explicit denies and audited assignments are authoritative</x:v>
      </x:c>
      <x:c r="E12" s="41" t="str">
        <x:v>TC-P01-005, TC-P01-008, TC-P01-009</x:v>
      </x:c>
      <x:c r="F12" s="41" t="str">
        <x:v>Yes</x:v>
      </x:c>
      <x:c r="G12" s="41" t="str">
        <x:v>Accepted</x:v>
      </x:c>
      <x:c r="H12" s="41" t="str">
        <x:v>Permission boundaries and deny precedence passed</x:v>
      </x:c>
      <x:c r="I12" s="42" t="n">
        <x:v>46260</x:v>
      </x:c>
      <x:c r="J12" s="41" t="str">
        <x:v>Paolo Ylag</x:v>
      </x:c>
    </x:row>
    <x:row r="13" ht="54" customHeight="1">
      <x:c r="A13" s="41" t="str">
        <x:v>AG-P01-04</x:v>
      </x:c>
      <x:c r="B13" s="41" t="str">
        <x:v>P01</x:v>
      </x:c>
      <x:c r="C13" s="41" t="str">
        <x:v>Administration and associations</x:v>
      </x:c>
      <x:c r="D13" s="41" t="str">
        <x:v>Users, departments, roles, permissions and manager links are safely administered</x:v>
      </x:c>
      <x:c r="E13" s="41" t="str">
        <x:v>TC-P01-006, TC-P01-012, TC-P01-013</x:v>
      </x:c>
      <x:c r="F13" s="41" t="str">
        <x:v>Yes</x:v>
      </x:c>
      <x:c r="G13" s="41" t="str">
        <x:v>Accepted</x:v>
      </x:c>
      <x:c r="H13" s="41" t="str">
        <x:v>CRUD safeguards, audit records and cycle rejection passed</x:v>
      </x:c>
      <x:c r="I13" s="42" t="n">
        <x:v>46260</x:v>
      </x:c>
      <x:c r="J13" s="41" t="str">
        <x:v>Paolo Ylag</x:v>
      </x:c>
    </x:row>
    <x:row r="14" ht="54" customHeight="1">
      <x:c r="A14" s="41" t="str">
        <x:v>AG-P01-05</x:v>
      </x:c>
      <x:c r="B14" s="41" t="str">
        <x:v>P01</x:v>
      </x:c>
      <x:c r="C14" s="41" t="str">
        <x:v>Session hygiene</x:v>
      </x:c>
      <x:c r="D14" s="41" t="str">
        <x:v>Tests do not accumulate sessions and retained cleanup cannot reach production</x:v>
      </x:c>
      <x:c r="E14" s="41" t="str">
        <x:v>TC-P01-014, TC-P01-015, TC-P01-016, TC-P01-017</x:v>
      </x:c>
      <x:c r="F14" s="41" t="str">
        <x:v>Yes</x:v>
      </x:c>
      <x:c r="G14" s="41" t="str">
        <x:v>Accepted</x:v>
      </x:c>
      <x:c r="H14" s="41" t="str">
        <x:v>Retention, teardown, disablement and production refusal passed</x:v>
      </x:c>
      <x:c r="I14" s="42" t="n">
        <x:v>46260</x:v>
      </x:c>
      <x:c r="J14" s="41" t="str">
        <x:v>Paolo Ylag</x:v>
      </x:c>
    </x:row>
    <x:row r="15" ht="54" customHeight="1">
      <x:c r="A15" s="41" t="str">
        <x:v>AG-P01-06</x:v>
      </x:c>
      <x:c r="B15" s="41" t="str">
        <x:v>P01</x:v>
      </x:c>
      <x:c r="C15" s="41" t="str">
        <x:v>Administration frontend</x:v>
      </x:c>
      <x:c r="D15" s="41" t="str">
        <x:v>Identity pages use uniform lists, menus, modals and responsive containment</x:v>
      </x:c>
      <x:c r="E15" s="41" t="str">
        <x:v>TC-P01-020</x:v>
      </x:c>
      <x:c r="F15" s="41" t="str">
        <x:v>Yes</x:v>
      </x:c>
      <x:c r="G15" s="41" t="str">
        <x:v>Accepted</x:v>
      </x:c>
      <x:c r="H15" s="41" t="str">
        <x:v>Authenticated administration walkthrough passed</x:v>
      </x:c>
      <x:c r="I15" s="42" t="n">
        <x:v>46260</x:v>
      </x:c>
      <x:c r="J15" s="41" t="str">
        <x:v>Paolo Ylag</x:v>
      </x:c>
    </x:row>
    <x:row r="16" ht="54" customHeight="1">
      <x:c r="A16" s="41" t="str">
        <x:v>AG-P01-07</x:v>
      </x:c>
      <x:c r="B16" s="41" t="str">
        <x:v>P01</x:v>
      </x:c>
      <x:c r="C16" s="41" t="str">
        <x:v>Standalone frontend</x:v>
      </x:c>
      <x:c r="D16" s="41" t="str">
        <x:v>Frontend-only mock mode remains runnable and report export builds</x:v>
      </x:c>
      <x:c r="E16" s="41" t="str">
        <x:v>TC-P01-021, TC-P01-022</x:v>
      </x:c>
      <x:c r="F16" s="41" t="str">
        <x:v>Yes</x:v>
      </x:c>
      <x:c r="G16" s="41" t="str">
        <x:v>Accepted</x:v>
      </x:c>
      <x:c r="H16" s="41" t="str">
        <x:v>Standalone build/routes and XLSX export passed</x:v>
      </x:c>
      <x:c r="I16" s="42" t="n">
        <x:v>46260</x:v>
      </x:c>
      <x:c r="J16" s="41" t="str">
        <x:v>Paolo Ylag</x:v>
      </x:c>
    </x:row>
    <x:row r="17" ht="54" customHeight="1">
      <x:c r="A17" s="41" t="str">
        <x:v>AG-P01-08</x:v>
      </x:c>
      <x:c r="B17" s="41" t="str">
        <x:v>P01</x:v>
      </x:c>
      <x:c r="C17" s="41" t="str">
        <x:v>Automated quality and release</x:v>
      </x:c>
      <x:c r="D17" s="41" t="str">
        <x:v>Lint, coverage, migrations and reviewed release package pass</x:v>
      </x:c>
      <x:c r="E17" s="41" t="str">
        <x:v>TC-P01-018, TC-P01-019</x:v>
      </x:c>
      <x:c r="F17" s="41" t="str">
        <x:v>Yes</x:v>
      </x:c>
      <x:c r="G17" s="41" t="str">
        <x:v>Accepted</x:v>
      </x:c>
      <x:c r="H17" s="41" t="str">
        <x:v>23 tests; 90.46% coverage; commit a796a43</x:v>
      </x:c>
      <x:c r="I17" s="42" t="n">
        <x:v>46260</x:v>
      </x:c>
      <x:c r="J17" s="41" t="str">
        <x:v>Paolo Ylag</x:v>
      </x:c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3">
    <x:dataValidation type="list" sqref="G4:G200">
      <x:formula1>"Pending,Accepted,Rejected,Blocked"</x:formula1>
    </x:dataValidation>
    <x:dataValidation type="list" sqref="F10:F17">
      <x:formula1>"Yes,No"</x:formula1>
    </x:dataValidation>
    <x:dataValidation type="list" sqref="G10:G17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3ea9e6bb30434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ea4621a0ede54191"/>
</x:worksheet>
</file>