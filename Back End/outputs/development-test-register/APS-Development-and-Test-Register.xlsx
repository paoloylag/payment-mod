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94d96e0a7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0e9b33f7a80495c"/>
    <x:sheet xmlns:r="http://schemas.openxmlformats.org/officeDocument/2006/relationships" name="Phase Register" sheetId="2" r:id="R0f1f5d1e77fb4363"/>
    <x:sheet xmlns:r="http://schemas.openxmlformats.org/officeDocument/2006/relationships" name="Development Log" sheetId="3" r:id="R828d00c4d8914c55"/>
    <x:sheet xmlns:r="http://schemas.openxmlformats.org/officeDocument/2006/relationships" name="Test Cases" sheetId="4" r:id="R4a9f6f8d0add4470"/>
    <x:sheet xmlns:r="http://schemas.openxmlformats.org/officeDocument/2006/relationships" name="Test Executions" sheetId="5" r:id="R8e442f81e42a4f90"/>
    <x:sheet xmlns:r="http://schemas.openxmlformats.org/officeDocument/2006/relationships" name="Acceptance Matrix" sheetId="6" r:id="R520af012b8aa45fd"/>
    <x:sheet xmlns:r="http://schemas.openxmlformats.org/officeDocument/2006/relationships" name="Instructions" sheetId="7" r:id="R03935ee4e5e84b09"/>
  </x:sheets>
</x:workbook>
</file>

<file path=xl/comments1.xml><?xml version="1.0" encoding="utf-8"?>
<x:comments xmlns:x="http://schemas.openxmlformats.org/spreadsheetml/2006/main">
  <x:authors>
    <x:author>tc={19E62585-6E3B-5330-B942-2636E8090F48}</x:author>
  </x:authors>
  <x:commentList>
    <x:comment ref="B1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Primary sources: PROJECT_MANIFEST.md and docs/phase-00-validation.md in codex/backend-integration commit 4ddd199.
Reply:
    GitHub CI evidence: https://github.com/paoloylag/payment-mod/actions/runs/32719293106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4"/>
      <x:color rgb="FF16324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</x:fills>
  <x:borders count="7">
    <x:border/>
    <x:border>
      <x:right style="thin">
        <x:color rgb="FFAFC4E8"/>
      </x:right>
    </x:border>
    <x:border>
      <x:left style="thin">
        <x:color rgb="FFAFC4E8"/>
      </x:left>
    </x:border>
    <x:border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top style="thin">
        <x:color rgb="FFD7DEE7"/>
      </x:top>
    </x:border>
    <x:border>
      <x:left style="thin">
        <x:color rgb="FFAFC4E8"/>
      </x:left>
      <x:right style="thin">
        <x:color rgb="FFAFC4E8"/>
      </x:right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42"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48a125a5204989" /><Relationship Type="http://schemas.openxmlformats.org/officeDocument/2006/relationships/theme" Target="/xl/theme/theme1.xml" Id="R05e8e29b30bf48ff" /><Relationship Type="http://schemas.openxmlformats.org/officeDocument/2006/relationships/sharedStrings" Target="/xl/sharedStrings.xml" Id="R12894f8d1ad746d5" /><Relationship Type="http://schemas.openxmlformats.org/officeDocument/2006/relationships/worksheet" Target="/xl/worksheets/sheet1.xml" Id="R00e9b33f7a80495c" /><Relationship Type="http://schemas.openxmlformats.org/officeDocument/2006/relationships/worksheet" Target="/xl/worksheets/sheet2.xml" Id="R0f1f5d1e77fb4363" /><Relationship Type="http://schemas.openxmlformats.org/officeDocument/2006/relationships/worksheet" Target="/xl/worksheets/sheet3.xml" Id="R828d00c4d8914c55" /><Relationship Type="http://schemas.openxmlformats.org/officeDocument/2006/relationships/worksheet" Target="/xl/worksheets/sheet4.xml" Id="R4a9f6f8d0add4470" /><Relationship Type="http://schemas.openxmlformats.org/officeDocument/2006/relationships/worksheet" Target="/xl/worksheets/sheet5.xml" Id="R8e442f81e42a4f90" /><Relationship Type="http://schemas.openxmlformats.org/officeDocument/2006/relationships/worksheet" Target="/xl/worksheets/sheet6.xml" Id="R520af012b8aa45fd" /><Relationship Type="http://schemas.openxmlformats.org/officeDocument/2006/relationships/worksheet" Target="/xl/worksheets/sheet7.xml" Id="R03935ee4e5e84b09" /><Relationship Type="http://schemas.microsoft.com/office/2017/10/relationships/person" Target="/xl/persons/person.xml" Id="Re38bcd6269b545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c161d8f9184f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Phase 00 test outcomes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'Dashboard'!$D$13:$D$15</c:f>
              <c:strCache>
                <c:ptCount val="0"/>
              </c:strCache>
            </c:strRef>
          </c:cat>
          <c:val>
            <c:numRef>
              <c:f>'Dashboard'!$E$13:$E$15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c161d8f9184f6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Paolo Ylag" id="{3B7AB0CE-C57B-4ADE-B2A4-CCB63A2FB271}"/>
</xltc:personList>
</file>

<file path=xl/tables/table1.xml><?xml version="1.0" encoding="utf-8"?>
<x:table xmlns:x="http://schemas.openxmlformats.org/spreadsheetml/2006/main" id="1" name="PhaseRegisterTable" displayName="PhaseRegisterTable" ref="A3:I13" headerRowCount="1" totalsRowCount="0" totalsRowShown="0">
  <x:tableColumns count="9">
    <x:tableColumn id="1" name="Phase ID"/>
    <x:tableColumn id="2" name="Phase"/>
    <x:tableColumn id="3" name="Scope Summary"/>
    <x:tableColumn id="4" name="Status"/>
    <x:tableColumn id="5" name="Acceptance Gate"/>
    <x:tableColumn id="6" name="Validation Reference"/>
    <x:tableColumn id="7" name="Last Validated"/>
    <x:tableColumn id="8" name="Owner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velopmentLogTable" displayName="DevelopmentLogTable" ref="A3:L25" headerRowCount="1" totalsRowCount="0" totalsRowShown="0">
  <x:tableColumns count="12">
    <x:tableColumn id="1" name="Dev ID"/>
    <x:tableColumn id="2" name="Phase"/>
    <x:tableColumn id="3" name="Work Item"/>
    <x:tableColumn id="4" name="Area"/>
    <x:tableColumn id="5" name="Type"/>
    <x:tableColumn id="6" name="Status"/>
    <x:tableColumn id="7" name="Branch"/>
    <x:tableColumn id="8" name="Commit"/>
    <x:tableColumn id="9" name="Evidence"/>
    <x:tableColumn id="10" name="Owner"/>
    <x:tableColumn id="11" name="Updated"/>
    <x:tableColumn id="1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CaseTable" displayName="TestCaseTable" ref="A3:M60" headerRowCount="1" totalsRowCount="0" totalsRowShown="0">
  <x:tableColumns count="13">
    <x:tableColumn id="1" name="Test ID"/>
    <x:tableColumn id="2" name="Phase"/>
    <x:tableColumn id="3" name="Feature"/>
    <x:tableColumn id="4" name="Test Type"/>
    <x:tableColumn id="5" name="Preconditions"/>
    <x:tableColumn id="6" name="Steps"/>
    <x:tableColumn id="7" name="Expected Result"/>
    <x:tableColumn id="8" name="Automation"/>
    <x:tableColumn id="9" name="Command / URL"/>
    <x:tableColumn id="10" name="Priority"/>
    <x:tableColumn id="11" name="Current Result"/>
    <x:tableColumn id="12" name="Acceptance Required"/>
    <x:tableColumn id="13" name="Evidence /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stExecutionTable" displayName="TestExecutionTable" ref="A3:L58" headerRowCount="1" totalsRowCount="0" totalsRowShown="0">
  <x:tableColumns count="12">
    <x:tableColumn id="1" name="Run ID"/>
    <x:tableColumn id="2" name="Test ID"/>
    <x:tableColumn id="3" name="Run Date"/>
    <x:tableColumn id="4" name="Environment"/>
    <x:tableColumn id="5" name="Build / Commit"/>
    <x:tableColumn id="6" name="Execution Status"/>
    <x:tableColumn id="7" name="Result"/>
    <x:tableColumn id="8" name="Actual Result"/>
    <x:tableColumn id="9" name="Executed By"/>
    <x:tableColumn id="10" name="Defect ID"/>
    <x:tableColumn id="11" name="Retest"/>
    <x:tableColumn id="12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ceptanceTable" displayName="AcceptanceTable" ref="A3:J12" headerRowCount="1" totalsRowCount="0" totalsRowShown="0">
  <x:tableColumns count="10">
    <x:tableColumn id="1" name="Gate ID"/>
    <x:tableColumn id="2" name="Phase"/>
    <x:tableColumn id="3" name="Gate"/>
    <x:tableColumn id="4" name="Acceptance Requirement"/>
    <x:tableColumn id="5" name="Linked Tests"/>
    <x:tableColumn id="6" name="Required"/>
    <x:tableColumn id="7" name="Result"/>
    <x:tableColumn id="8" name="Evidence / Limitation"/>
    <x:tableColumn id="9" name="Accepted Date"/>
    <x:tableColumn id="10" name="Accepted B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8" dT="2026-08-25T03:14:32.316" personId="{3B7AB0CE-C57B-4ADE-B2A4-CCB63A2FB271}" id="{19E62585-6E3B-5330-B942-2636E8090F48}">
    <xltc:text>Primary sources: PROJECT_MANIFEST.md and docs/phase-00-validation.md in codex/backend-integration commit 4ddd199.</xltc:text>
  </xltc:threadedComment>
  <xltc:threadedComment ref="B18" dT="2026-08-25T03:14:32.316" personId="{3B7AB0CE-C57B-4ADE-B2A4-CCB63A2FB271}" id="{1D9D9B96-07F1-4FA8-85D7-9617598F0567}" parentId="{19E62585-6E3B-5330-B942-2636E8090F48}">
    <xltc:text>GitHub CI evidence: https://github.com/paoloylag/payment-mod/actions/runs/32719293106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e2eba6166549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1b2a4aabc54c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ed4e82cf4c4f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334fe1f3184d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c202d6348445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4088cd2bb843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1.xml" Id="Raaa0414e13f14228" /><Relationship Type="http://schemas.openxmlformats.org/officeDocument/2006/relationships/vmlDrawing" Target="/xl/drawings/vmldrawing.vml" Id="R811266adc5b44823" /><Relationship Type="http://schemas.microsoft.com/office/2017/10/relationships/threadedComment" Target="/xl/threadedcomments/threadedcomment.xml" Id="Rb0cdd5aa844348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36" hidden="0" customWidth="1"/>
    <x:col min="8" max="8" width="18" hidden="0" customWidth="1"/>
  </x:cols>
  <x:sheetData>
    <x:row r="1" ht="21.600000381469727" hidden="0" customHeight="1">
      <x:c r="A1" s="3" t="str">
        <x:v>Automated Payment System — Development &amp; QA Dashboard</x:v>
      </x:c>
    </x:row>
    <x:row r="2" ht="26.399999618530273" hidden="0" customHeight="1">
      <x:c r="A2" s="6" t="str">
        <x:v>Live register for delivery phases, test execution, acceptance gates and evidence. Update source sheets; dashboard formulas recalculate.</x:v>
      </x:c>
    </x:row>
    <x:row r="3"/>
    <x:row r="4" ht="15" hidden="0" customHeight="1">
      <x:c r="A4" s="13" t="str">
        <x:v>Metric</x:v>
      </x:c>
      <x:c r="B4" s="14" t="str">
        <x:v>Current</x:v>
      </x:c>
      <x:c r="D4" s="13" t="str">
        <x:v>Phase 00 acceptance snapshot</x:v>
      </x:c>
      <x:c r="E4" s="36"/>
      <x:c r="F4" s="36"/>
      <x:c r="G4" s="36"/>
      <x:c r="H4" s="14"/>
    </x:row>
    <x:row r="5" ht="36" hidden="0" customHeight="1">
      <x:c r="A5" s="22" t="str">
        <x:v>Validated phases</x:v>
      </x:c>
      <x:c r="B5" s="31" t="n">
        <x:f>COUNTIF('Phase Register'!$D$4:$D$13,"Validated")</x:f>
        <x:v>5</x:v>
      </x:c>
      <x:c r="D5" s="22" t="str">
        <x:v>AG-P00-01</x:v>
      </x:c>
      <x:c r="E5" s="22" t="str">
        <x:v>API foundation</x:v>
      </x:c>
      <x:c r="F5" s="22" t="str">
        <x:v>Accepted</x:v>
      </x:c>
      <x:c r="G5" s="22" t="str">
        <x:v>Validated locally and in CI</x:v>
      </x:c>
      <x:c r="H5" s="22" t="str">
        <x:v>2026-08-25</x:v>
      </x:c>
    </x:row>
    <x:row r="6" ht="60" hidden="0" customHeight="1">
      <x:c r="A6" s="23" t="str">
        <x:v>Total phases</x:v>
      </x:c>
      <x:c r="B6" s="32" t="n">
        <x:f>COUNTA('Phase Register'!$A$4:$A$13)</x:f>
        <x:v>10</x:v>
      </x:c>
      <x:c r="D6" s="23" t="str">
        <x:v>AG-P00-02</x:v>
      </x:c>
      <x:c r="E6" s="23" t="str">
        <x:v>Database foundation</x:v>
      </x:c>
      <x:c r="F6" s="23" t="str">
        <x:v>Accepted</x:v>
      </x:c>
      <x:c r="G6" s="23" t="str">
        <x:v>Validated against local PostgreSQL 16</x:v>
      </x:c>
      <x:c r="H6" s="23" t="str">
        <x:v>2026-08-25</x:v>
      </x:c>
    </x:row>
    <x:row r="7" ht="84" hidden="0" customHeight="1">
      <x:c r="A7" s="23" t="str">
        <x:v>Passed tests</x:v>
      </x:c>
      <x:c r="B7" s="32" t="n">
        <x:f>COUNTIF('Test Cases'!$K$4:$K$200,"Passed")</x:f>
        <x:v>76</x:v>
      </x:c>
      <x:c r="D7" s="23" t="str">
        <x:v>AG-P00-03</x:v>
      </x:c>
      <x:c r="E7" s="23" t="str">
        <x:v>API standards</x:v>
      </x:c>
      <x:c r="F7" s="23" t="str">
        <x:v>Accepted</x:v>
      </x:c>
      <x:c r="G7" s="23" t="str">
        <x:v>Request propagation, CORS and structured log fields verified</x:v>
      </x:c>
      <x:c r="H7" s="23" t="str">
        <x:v>2026-08-25</x:v>
      </x:c>
    </x:row>
    <x:row r="8" ht="72" hidden="0" customHeight="1">
      <x:c r="A8" s="23" t="str">
        <x:v>Failed tests</x:v>
      </x:c>
      <x:c r="B8" s="32" t="n">
        <x:f>COUNTIF('Test Cases'!$K$4:$K$200,"Failed")</x:f>
        <x:v>0</x:v>
      </x:c>
      <x:c r="D8" s="23" t="str">
        <x:v>AG-P00-04</x:v>
      </x:c>
      <x:c r="E8" s="23" t="str">
        <x:v>Automated quality</x:v>
      </x:c>
      <x:c r="F8" s="23" t="str">
        <x:v>Accepted</x:v>
      </x:c>
      <x:c r="G8" s="23" t="str">
        <x:v>6 tests passed; 89% coverage; Vite build passed</x:v>
      </x:c>
      <x:c r="H8" s="23" t="str">
        <x:v>2026-08-25</x:v>
      </x:c>
    </x:row>
    <x:row r="9" ht="60" hidden="0" customHeight="1">
      <x:c r="A9" s="24" t="str">
        <x:v>Not-run tests</x:v>
      </x:c>
      <x:c r="B9" s="33" t="n">
        <x:f>COUNTIF('Test Cases'!$K$4:$K$200,"Not Run")</x:f>
        <x:v>1</x:v>
      </x:c>
      <x:c r="D9" s="23" t="str">
        <x:v>AG-P00-05</x:v>
      </x:c>
      <x:c r="E9" s="23" t="str">
        <x:v>Delivery packaging</x:v>
      </x:c>
      <x:c r="F9" s="23" t="str">
        <x:v>Accepted</x:v>
      </x:c>
      <x:c r="G9" s="23" t="str">
        <x:v>Local Docker and GitHub package job passed</x:v>
      </x:c>
      <x:c r="H9" s="23" t="str">
        <x:v>2026-08-25</x:v>
      </x:c>
    </x:row>
    <x:row r="10" ht="84" hidden="0" customHeight="1">
      <x:c r="D10" s="24" t="str">
        <x:v>AG-P00-06</x:v>
      </x:c>
      <x:c r="E10" s="24" t="str">
        <x:v>Continuously runnable prototype</x:v>
      </x:c>
      <x:c r="F10" s="24" t="str">
        <x:v>Accepted</x:v>
      </x:c>
      <x:c r="G10" s="24" t="str">
        <x:v>API connected and Hybrid · mock fallback states both verified</x:v>
      </x:c>
      <x:c r="H10" s="24" t="str">
        <x:v>2026-08-25</x:v>
      </x:c>
    </x:row>
    <x:row r="11"/>
    <x:row r="12" ht="15" hidden="0" customHeight="1">
      <x:c r="D12" s="13" t="str">
        <x:v>Test result</x:v>
      </x:c>
      <x:c r="E12" s="14" t="str">
        <x:v>Count</x:v>
      </x:c>
    </x:row>
    <x:row r="13" ht="15" hidden="0" customHeight="1">
      <x:c r="D13" t="str">
        <x:v>Passed</x:v>
      </x:c>
      <x:c r="E13" t="n">
        <x:f>COUNTIF('Test Cases'!$K$4:$K$200,D13)</x:f>
        <x:v>76</x:v>
      </x:c>
    </x:row>
    <x:row r="14" ht="15" hidden="0" customHeight="1">
      <x:c r="D14" t="str">
        <x:v>Failed</x:v>
      </x:c>
      <x:c r="E14" t="n">
        <x:f>COUNTIF('Test Cases'!$K$4:$K$200,D14)</x:f>
        <x:v>0</x:v>
      </x:c>
    </x:row>
    <x:row r="15" ht="15" hidden="0" customHeight="1">
      <x:c r="D15" t="str">
        <x:v>Not Run</x:v>
      </x:c>
      <x:c r="E15" t="n">
        <x:f>COUNTIF('Test Cases'!$K$4:$K$200,D15)</x:f>
        <x:v>1</x:v>
      </x:c>
    </x:row>
    <x:row r="16"/>
    <x:row r="17" ht="15" hidden="0" customHeight="1">
      <x:c r="D17" s="13" t="str">
        <x:v>Current environment</x:v>
      </x:c>
      <x:c r="E17" s="36"/>
      <x:c r="F17" s="36"/>
      <x:c r="G17" s="36"/>
      <x:c r="H17" s="14"/>
    </x:row>
    <x:row r="18" ht="36" hidden="0" customHeight="1">
      <x:c r="D18" s="22" t="str">
        <x:v>Branch</x:v>
      </x:c>
      <x:c r="E18" s="22" t="str">
        <x:v>codex/backend-integration</x:v>
      </x:c>
      <x:c r="F18" s="22" t="str">
        <x:v>Build</x:v>
      </x:c>
      <x:c r="G18" s="22" t="str">
        <x:v>Phase 01-04 local closeout</x:v>
      </x:c>
      <x:c r="H18" s="22" t="str"/>
    </x:row>
    <x:row r="19" ht="48" hidden="0" customHeight="1">
      <x:c r="D19" s="23" t="str">
        <x:v>Frontend</x:v>
      </x:c>
      <x:c r="E19" s="23" t="str">
        <x:v>http://127.0.0.1:5175/#/login</x:v>
      </x:c>
      <x:c r="F19" s="23" t="str">
        <x:v>Status</x:v>
      </x:c>
      <x:c r="G19" s="23" t="str">
        <x:v>API connected</x:v>
      </x:c>
      <x:c r="H19" s="23" t="str"/>
    </x:row>
    <x:row r="20" ht="24" hidden="0" customHeight="1">
      <x:c r="D20" s="23" t="str">
        <x:v>API</x:v>
      </x:c>
      <x:c r="E20" s="23" t="str">
        <x:v>http://127.0.0.1:58002</x:v>
      </x:c>
      <x:c r="F20" s="23" t="str">
        <x:v>Status</x:v>
      </x:c>
      <x:c r="G20" s="23" t="str">
        <x:v>Healthy</x:v>
      </x:c>
      <x:c r="H20" s="23" t="str"/>
    </x:row>
    <x:row r="21" ht="48" hidden="0" customHeight="1">
      <x:c r="D21" s="23" t="str">
        <x:v>Database</x:v>
      </x:c>
      <x:c r="E21" s="23" t="str">
        <x:v>PostgreSQL 16 on 127.0.0.1:55434</x:v>
      </x:c>
      <x:c r="F21" s="23" t="str">
        <x:v>Migration</x:v>
      </x:c>
      <x:c r="G21" s="23" t="str">
        <x:v>20260930_0010</x:v>
      </x:c>
      <x:c r="H21" s="23" t="str"/>
    </x:row>
    <x:row r="22" ht="36" hidden="0" customHeight="1">
      <x:c r="D22" s="24" t="str">
        <x:v>Evidence</x:v>
      </x:c>
      <x:c r="E22" s="24" t="str">
        <x:v>docs/phase-01-plan.md; docs/phase-02-validation.md; docs/phase-03-validation.md; docs/phase-04-validation.md</x:v>
      </x:c>
      <x:c r="F22" s="24" t="str">
        <x:v>Updated</x:v>
      </x:c>
      <x:c r="G22" s="24" t="str">
        <x:v>2026-09-28</x:v>
      </x:c>
      <x:c r="H22" s="39" t="n">
        <x:v>46302</x:v>
      </x:c>
    </x:row>
  </x:sheetData>
  <x:mergeCells>
    <x:mergeCell ref="A1:H1"/>
    <x:mergeCell ref="A2:H2"/>
    <x:mergeCell ref="D4:H4"/>
    <x:mergeCell ref="D17:H17"/>
  </x:mergeCells>
  <x:conditionalFormatting sqref="F5:F10">
    <x:cfRule type="containsText" dxfId="0" priority="1" operator="containsText" text="Passed"/>
    <x:cfRule type="containsText" dxfId="1" priority="2" operator="containsText" text="Validated"/>
    <x:cfRule type="containsText" dxfId="2" priority="3" operator="containsText" text="Accepted"/>
    <x:cfRule type="containsText" dxfId="3" priority="4" operator="containsText" text="Failed"/>
    <x:cfRule type="containsText" dxfId="4" priority="5" operator="containsText" text="Blocked"/>
    <x:cfRule type="containsText" dxfId="5" priority="6" operator="containsText" text="Not Run"/>
    <x:cfRule type="containsText" dxfId="6" priority="7" operator="containsText" text="Pending"/>
  </x:conditionalFormatting>
  <x:pageMargins left="0.7" right="0.7" top="0.75" bottom="0.75" header="0.3" footer="0.3"/>
  <x:drawing xmlns:r="http://schemas.openxmlformats.org/officeDocument/2006/relationships" r:id="Rbbe2eba6166549c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48" hidden="0" customWidth="1"/>
    <x:col min="4" max="4" width="20" hidden="0" customWidth="1"/>
    <x:col min="5" max="5" width="46" hidden="0" customWidth="1"/>
    <x:col min="6" max="6" width="28" hidden="0" customWidth="1"/>
    <x:col min="7" max="7" width="15" hidden="0" customWidth="1"/>
    <x:col min="8" max="8" width="18" hidden="0" customWidth="1"/>
    <x:col min="9" max="9" width="42" hidden="0" customWidth="1"/>
  </x:cols>
  <x:sheetData>
    <x:row r="1" ht="21.600000381469727" hidden="0" customHeight="1">
      <x:c r="A1" s="3" t="str">
        <x:v>Phase Register</x:v>
      </x:c>
    </x:row>
    <x:row r="2" ht="15" hidden="0" customHeight="1">
      <x:c r="A2" s="6" t="str">
        <x:v>Status and acceptance boundary for every planned implementation phase.</x:v>
      </x:c>
    </x:row>
    <x:row r="3" ht="26.399999618530273" hidden="0" customHeight="1">
      <x:c r="A3" s="13" t="str">
        <x:v>Phase ID</x:v>
      </x:c>
      <x:c r="B3" s="36" t="str">
        <x:v>Phase</x:v>
      </x:c>
      <x:c r="C3" s="36" t="str">
        <x:v>Scope Summary</x:v>
      </x:c>
      <x:c r="D3" s="36" t="str">
        <x:v>Status</x:v>
      </x:c>
      <x:c r="E3" s="36" t="str">
        <x:v>Acceptance Gate</x:v>
      </x:c>
      <x:c r="F3" s="36" t="str">
        <x:v>Validation Reference</x:v>
      </x:c>
      <x:c r="G3" s="36" t="str">
        <x:v>Last Validated</x:v>
      </x:c>
      <x:c r="H3" s="36" t="str">
        <x:v>Owner</x:v>
      </x:c>
      <x:c r="I3" s="14" t="str">
        <x:v>Notes</x:v>
      </x:c>
    </x:row>
    <x:row r="4" ht="132" hidden="0" customHeight="1">
      <x:c r="A4" s="22" t="str">
        <x:v>P00</x:v>
      </x:c>
      <x:c r="B4" s="22" t="str">
        <x:v>Foundation</x:v>
      </x:c>
      <x:c r="C4" s="22" t="str">
        <x:v>API foundation, PostgreSQL, migrations, seed, middleware, CI/CD and hybrid frontend status</x:v>
      </x:c>
      <x:c r="D4" s="22" t="str">
        <x:v>Validated</x:v>
      </x:c>
      <x:c r="E4" s="22" t="str">
        <x:v>All foundation gates pass locally and in CI</x:v>
      </x:c>
      <x:c r="F4" s="22" t="str">
        <x:v>docs/phase-00-validation.md</x:v>
      </x:c>
      <x:c r="G4" s="37" t="n">
        <x:v>46288</x:v>
      </x:c>
      <x:c r="H4" s="22" t="str">
        <x:v>Backend Team</x:v>
      </x:c>
      <x:c r="I4" s="22" t="str">
        <x:v>Validated; current Docker image, migration replay, health checks and logical restore passed on 2026-09-23.</x:v>
      </x:c>
    </x:row>
    <x:row r="5" ht="96" hidden="0" customHeight="1">
      <x:c r="A5" s="23" t="str">
        <x:v>P01</x:v>
      </x:c>
      <x:c r="B5" s="23" t="str">
        <x:v>Authentication and RBAC</x:v>
      </x:c>
      <x:c r="C5" s="23" t="str">
        <x:v>Local auth, sessions, users, roles, permissions and authorization</x:v>
      </x:c>
      <x:c r="D5" s="23" t="str">
        <x:v>Validated</x:v>
      </x:c>
      <x:c r="E5" s="23" t="str">
        <x:v>Protected endpoints enforce identity, role and department boundaries</x:v>
      </x:c>
      <x:c r="F5" s="23" t="str">
        <x:v>docs/phase-01-plan.md</x:v>
      </x:c>
      <x:c r="G5" s="38" t="n">
        <x:v>46302</x:v>
      </x:c>
      <x:c r="H5" s="23" t="str">
        <x:v>Backend Team</x:v>
      </x:c>
      <x:c r="I5" s="23" t="str">
        <x:v>Validated locally; current five-role browser walkthrough, 99-test backend regression, migration replay, lint, dependency audits and production build passed on 2026-10-07. Production security and hosted accessibility remain Phase 09 gates.</x:v>
      </x:c>
    </x:row>
    <x:row r="6" ht="120" hidden="0" customHeight="1">
      <x:c r="A6" s="23" t="str">
        <x:v>P02</x:v>
      </x:c>
      <x:c r="B6" s="23" t="str">
        <x:v>Master Data</x:v>
      </x:c>
      <x:c r="C6" s="23" t="str">
        <x:v>Departments, cost centers, vendors, accounts, tax codes, currencies and payment methods</x:v>
      </x:c>
      <x:c r="D6" s="23" t="str">
        <x:v>Validated</x:v>
      </x:c>
      <x:c r="E6" s="23" t="str">
        <x:v>Reference data is persisted, validated and safely administered</x:v>
      </x:c>
      <x:c r="F6" s="23" t="str">
        <x:v>docs/phase-02-plan.md</x:v>
      </x:c>
      <x:c r="G6" s="38" t="n">
        <x:v>46302</x:v>
      </x:c>
      <x:c r="H6" s="23" t="str">
        <x:v>Backend Team</x:v>
      </x:c>
      <x:c r="I6" s="23" t="str">
        <x:v>Validated for local development; all seven Master Data views, role controls and configuration forms passed browser and automated checks. Authoritative Finance reference data and live Procurement vendor activation remain accepted external limitations.</x:v>
      </x:c>
    </x:row>
    <x:row r="7" ht="96" hidden="0" customHeight="1">
      <x:c r="A7" s="23" t="str">
        <x:v>P03</x:v>
      </x:c>
      <x:c r="B7" s="23" t="str">
        <x:v>Payment Requests</x:v>
      </x:c>
      <x:c r="C7" s="23" t="str">
        <x:v>Drafts, request types, numbering, line items, allocations, submission and locking</x:v>
      </x:c>
      <x:c r="D7" s="23" t="str">
        <x:v>Validated</x:v>
      </x:c>
      <x:c r="E7" s="23" t="str">
        <x:v>Every request type persists and enforces ownership and totals</x:v>
      </x:c>
      <x:c r="F7" s="23" t="str">
        <x:v>docs/phase-03-validation.md</x:v>
      </x:c>
      <x:c r="G7" s="38" t="n">
        <x:v>46302</x:v>
      </x:c>
      <x:c r="H7" s="23" t="str">
        <x:v>Backend Team</x:v>
      </x:c>
      <x:c r="I7" s="23" t="str">
        <x:v>Validated for local development; 99 backend tests, migration replay, five-role request lifecycle, Finance settings and current-device responsive suites passed. Live Procurement activation and deferred cash-out exception workflows remain accepted limitations.</x:v>
      </x:c>
    </x:row>
    <x:row r="8" ht="96" hidden="0" customHeight="1">
      <x:c r="A8" s="23" t="str">
        <x:v>P04</x:v>
      </x:c>
      <x:c r="B8" s="23" t="str">
        <x:v>Documents</x:v>
      </x:c>
      <x:c r="C8" s="23" t="str">
        <x:v>Private files, metadata, checksum, replacement, rules, preview and review</x:v>
      </x:c>
      <x:c r="D8" s="23" t="str">
        <x:v>Validated</x:v>
      </x:c>
      <x:c r="E8" s="23" t="str">
        <x:v>Protected document lifecycle works against persisted requests</x:v>
      </x:c>
      <x:c r="F8" s="23" t="str">
        <x:v>docs/phase-04-validation.md</x:v>
      </x:c>
      <x:c r="G8" s="38" t="n">
        <x:v>46302</x:v>
      </x:c>
      <x:c r="H8" s="23" t="str">
        <x:v>Backend Team</x:v>
      </x:c>
      <x:c r="I8" s="23" t="str">
        <x:v>Validated for local development; private MinIO lifecycle, document requirements, five-role document workflow and per-line Reimbursement evidence passed. Production S3, scanning and retention remain Phase 09 gates.</x:v>
      </x:c>
    </x:row>
    <x:row r="9" ht="108" hidden="0" customHeight="1">
      <x:c r="A9" s="23" t="str">
        <x:v>P05</x:v>
      </x:c>
      <x:c r="B9" s="23" t="str">
        <x:v>Workflow and Approvals</x:v>
      </x:c>
      <x:c r="C9" s="23" t="str">
        <x:v>Routes, assignments, queues, decisions, delegation, rerouting and immutable events</x:v>
      </x:c>
      <x:c r="D9" s="23" t="str">
        <x:v>In Progress — Preview Only</x:v>
      </x:c>
      <x:c r="E9" s="23" t="str">
        <x:v>Backend state machine rejects invalid or duplicate transitions</x:v>
      </x:c>
      <x:c r="F9" s="23" t="str">
        <x:v>docs/phase-05-plan.md</x:v>
      </x:c>
      <x:c r="G9" s="38" t="n">
        <x:v>46302</x:v>
      </x:c>
      <x:c r="H9" s="23" t="str">
        <x:v>Backend Team</x:v>
      </x:c>
      <x:c r="I9" s="23" t="str">
        <x:v>Read-only provisional route preview is implemented. Approver assignment and approval decisions are not persisted.</x:v>
      </x:c>
    </x:row>
    <x:row r="10" ht="108" hidden="0" customHeight="1">
      <x:c r="A10" s="23" t="str">
        <x:v>P06</x:v>
      </x:c>
      <x:c r="B10" s="23" t="str">
        <x:v>Finance and Vouchers</x:v>
      </x:c>
      <x:c r="C10" s="23" t="str">
        <x:v>VAT/EWT, accounting entries, validation, voucher snapshots and certification</x:v>
      </x:c>
      <x:c r="D10" s="23" t="str">
        <x:v>Not Started</x:v>
      </x:c>
      <x:c r="E10" s="23" t="str">
        <x:v>Balanced entries and approved persisted vouchers are enforced</x:v>
      </x:c>
      <x:c r="F10" s="23" t="str">
        <x:v>PROJECT_MANIFEST.md</x:v>
      </x:c>
      <x:c r="G10" s="38"/>
      <x:c r="H10" s="23" t="str">
        <x:v>Backend Team</x:v>
      </x:c>
      <x:c r="I10" s="23" t="str">
        <x:v>Financial calculations require boundary tests</x:v>
      </x:c>
    </x:row>
    <x:row r="11" ht="120" hidden="0" customHeight="1">
      <x:c r="A11" s="23" t="str">
        <x:v>P07</x:v>
      </x:c>
      <x:c r="B11" s="23" t="str">
        <x:v>Payment Execution</x:v>
      </x:c>
      <x:c r="C11" s="23" t="str">
        <x:v>Payment attempts, authorization, processing, release, retries, voids and replacements</x:v>
      </x:c>
      <x:c r="D11" s="23" t="str">
        <x:v>Not Started</x:v>
      </x:c>
      <x:c r="E11" s="23" t="str">
        <x:v>Segregation of duties and immutable payment history pass</x:v>
      </x:c>
      <x:c r="F11" s="23" t="str">
        <x:v>PROJECT_MANIFEST.md</x:v>
      </x:c>
      <x:c r="G11" s="38"/>
      <x:c r="H11" s="23" t="str">
        <x:v>Backend Team</x:v>
      </x:c>
      <x:c r="I11" s="23" t="str">
        <x:v>Support partial and multiple attempts</x:v>
      </x:c>
    </x:row>
    <x:row r="12" ht="96" hidden="0" customHeight="1">
      <x:c r="A12" s="23" t="str">
        <x:v>P08</x:v>
      </x:c>
      <x:c r="B12" s="23" t="str">
        <x:v>Notifications and Reporting</x:v>
      </x:c>
      <x:c r="C12" s="23" t="str">
        <x:v>Outbox, delivery history, dashboards, tracker, aging, exports and reports</x:v>
      </x:c>
      <x:c r="D12" s="23" t="str">
        <x:v>Not Started</x:v>
      </x:c>
      <x:c r="E12" s="23" t="str">
        <x:v>Durable notifications and reconciled report totals pass</x:v>
      </x:c>
      <x:c r="F12" s="23" t="str">
        <x:v>PROJECT_MANIFEST.md</x:v>
      </x:c>
      <x:c r="G12" s="38"/>
      <x:c r="H12" s="23" t="str">
        <x:v>Backend Team</x:v>
      </x:c>
      <x:c r="I12" s="23" t="str">
        <x:v>Development mailbox before production email</x:v>
      </x:c>
    </x:row>
    <x:row r="13" ht="108" hidden="0" customHeight="1">
      <x:c r="A13" s="24" t="str">
        <x:v>P09</x:v>
      </x:c>
      <x:c r="B13" s="24" t="str">
        <x:v>Administration and Integrations</x:v>
      </x:c>
      <x:c r="C13" s="24" t="str">
        <x:v>Policies, retention, monitoring, SAML, storage, ERP, banking and webhooks</x:v>
      </x:c>
      <x:c r="D13" s="24" t="str">
        <x:v>Not Started</x:v>
      </x:c>
      <x:c r="E13" s="24" t="str">
        <x:v>Adapters are replaceable, monitored and safely configurable</x:v>
      </x:c>
      <x:c r="F13" s="24" t="str">
        <x:v>PROJECT_MANIFEST.md</x:v>
      </x:c>
      <x:c r="G13" s="39"/>
      <x:c r="H13" s="24" t="str">
        <x:v>Backend Team</x:v>
      </x:c>
      <x:c r="I13" s="24" t="str">
        <x:v>Production ownership decisions required</x:v>
      </x:c>
    </x:row>
  </x:sheetData>
  <x:mergeCells>
    <x:mergeCell ref="A1:I1"/>
    <x:mergeCell ref="A2:I2"/>
  </x:mergeCells>
  <x:conditionalFormatting sqref="D4:D100">
    <x:cfRule type="containsText" dxfId="7" priority="1" operator="containsText" text="Passed"/>
    <x:cfRule type="containsText" dxfId="8" priority="2" operator="containsText" text="Validated"/>
    <x:cfRule type="containsText" dxfId="9" priority="3" operator="containsText" text="Accepted"/>
    <x:cfRule type="containsText" dxfId="10" priority="4" operator="containsText" text="Failed"/>
    <x:cfRule type="containsText" dxfId="11" priority="5" operator="containsText" text="Blocked"/>
    <x:cfRule type="containsText" dxfId="12" priority="6" operator="containsText" text="Not Run"/>
    <x:cfRule type="containsText" dxfId="13" priority="7" operator="containsText" text="Pending"/>
  </x:conditionalFormatting>
  <x:dataValidations count="1">
    <x:dataValidation type="list" sqref="D4:D100">
      <x:formula1>"Not Started,In Progress,Ready for Validation,Validated,Blocked"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1b2a4aabc54c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  <x:col min="8" max="8" width="14" hidden="0" customWidth="1"/>
    <x:col min="9" max="9" width="34" hidden="0" customWidth="1"/>
    <x:col min="10" max="10" width="16" hidden="0" customWidth="1"/>
    <x:col min="11" max="11" width="16" hidden="0" customWidth="1"/>
    <x:col min="12" max="12" width="42" hidden="0" customWidth="1"/>
  </x:cols>
  <x:sheetData>
    <x:row r="1" ht="21.600000381469727" hidden="0" customHeight="1">
      <x:c r="A1" s="3" t="str">
        <x:v>Development Log</x:v>
      </x:c>
    </x:row>
    <x:row r="2" ht="15" hidden="0" customHeight="1">
      <x:c r="A2" s="6" t="str">
        <x:v>Implemented work and planned development items, linked to branch, build and evidence.</x:v>
      </x:c>
    </x:row>
    <x:row r="3" ht="26.399999618530273" hidden="0" customHeight="1">
      <x:c r="A3" s="13" t="str">
        <x:v>Dev ID</x:v>
      </x:c>
      <x:c r="B3" s="36" t="str">
        <x:v>Phase</x:v>
      </x:c>
      <x:c r="C3" s="36" t="str">
        <x:v>Work Item</x:v>
      </x:c>
      <x:c r="D3" s="36" t="str">
        <x:v>Area</x:v>
      </x:c>
      <x:c r="E3" s="36" t="str">
        <x:v>Type</x:v>
      </x:c>
      <x:c r="F3" s="36" t="str">
        <x:v>Status</x:v>
      </x:c>
      <x:c r="G3" s="36" t="str">
        <x:v>Branch</x:v>
      </x:c>
      <x:c r="H3" s="36" t="str">
        <x:v>Commit</x:v>
      </x:c>
      <x:c r="I3" s="36" t="str">
        <x:v>Evidence</x:v>
      </x:c>
      <x:c r="J3" s="36" t="str">
        <x:v>Owner</x:v>
      </x:c>
      <x:c r="K3" s="36" t="str">
        <x:v>Updated</x:v>
      </x:c>
      <x:c r="L3" s="14" t="str">
        <x:v>Notes</x:v>
      </x:c>
    </x:row>
    <x:row r="4" ht="72" hidden="0" customHeight="1">
      <x:c r="A4" s="22" t="str">
        <x:v>DEV-0001</x:v>
      </x:c>
      <x:c r="B4" s="22" t="str">
        <x:v>P00</x:v>
      </x:c>
      <x:c r="C4" s="22" t="str">
        <x:v>Versioned API routing</x:v>
      </x:c>
      <x:c r="D4" s="22" t="str">
        <x:v>FastAPI</x:v>
      </x:c>
      <x:c r="E4" s="22" t="str">
        <x:v>Feature</x:v>
      </x:c>
      <x:c r="F4" s="22" t="str">
        <x:v>Complete</x:v>
      </x:c>
      <x:c r="G4" s="22" t="str">
        <x:v>codex/backend-integration</x:v>
      </x:c>
      <x:c r="H4" s="22" t="str">
        <x:v>4ddd199</x:v>
      </x:c>
      <x:c r="I4" s="22" t="str">
        <x:v>/api and /api/v1/system/status</x:v>
      </x:c>
      <x:c r="J4" s="22" t="str">
        <x:v>Backend Team</x:v>
      </x:c>
      <x:c r="K4" s="37" t="n">
        <x:v>46259</x:v>
      </x:c>
      <x:c r="L4" s="22" t="str">
        <x:v>API discovery and versioned system route</x:v>
      </x:c>
    </x:row>
    <x:row r="5" ht="60" hidden="0" customHeight="1">
      <x:c r="A5" s="23" t="str">
        <x:v>DEV-0002</x:v>
      </x:c>
      <x:c r="B5" s="23" t="str">
        <x:v>P00</x:v>
      </x:c>
      <x:c r="C5" s="23" t="str">
        <x:v>Liveness and readiness</x:v>
      </x:c>
      <x:c r="D5" s="23" t="str">
        <x:v>Operations</x:v>
      </x:c>
      <x:c r="E5" s="23" t="str">
        <x:v>Feature</x:v>
      </x:c>
      <x:c r="F5" s="23" t="str">
        <x:v>Complete</x:v>
      </x:c>
      <x:c r="G5" s="23" t="str">
        <x:v>codex/backend-integration</x:v>
      </x:c>
      <x:c r="H5" s="23" t="str">
        <x:v>4ddd199</x:v>
      </x:c>
      <x:c r="I5" s="23" t="str">
        <x:v>/healthz and /readyz</x:v>
      </x:c>
      <x:c r="J5" s="23" t="str">
        <x:v>Backend Team</x:v>
      </x:c>
      <x:c r="K5" s="38" t="n">
        <x:v>46259</x:v>
      </x:c>
      <x:c r="L5" s="23" t="str">
        <x:v>Readiness checks PostgreSQL independently</x:v>
      </x:c>
    </x:row>
    <x:row r="6" ht="60" hidden="0" customHeight="1">
      <x:c r="A6" s="23" t="str">
        <x:v>DEV-0003</x:v>
      </x:c>
      <x:c r="B6" s="23" t="str">
        <x:v>P00</x:v>
      </x:c>
      <x:c r="C6" s="23" t="str">
        <x:v>PostgreSQL 16 Compose service</x:v>
      </x:c>
      <x:c r="D6" s="23" t="str">
        <x:v>Database</x:v>
      </x:c>
      <x:c r="E6" s="23" t="str">
        <x:v>Infrastructure</x:v>
      </x:c>
      <x:c r="F6" s="23" t="str">
        <x:v>Complete</x:v>
      </x:c>
      <x:c r="G6" s="23" t="str">
        <x:v>codex/backend-integration</x:v>
      </x:c>
      <x:c r="H6" s="23" t="str">
        <x:v>4ddd199</x:v>
      </x:c>
      <x:c r="I6" s="23" t="str">
        <x:v>docker-compose.yml</x:v>
      </x:c>
      <x:c r="J6" s="23" t="str">
        <x:v>Backend Team</x:v>
      </x:c>
      <x:c r="K6" s="38" t="n">
        <x:v>46259</x:v>
      </x:c>
      <x:c r="L6" s="23" t="str">
        <x:v>Persistent local volume and health check</x:v>
      </x:c>
    </x:row>
    <x:row r="7" ht="60" hidden="0" customHeight="1">
      <x:c r="A7" s="23" t="str">
        <x:v>DEV-0004</x:v>
      </x:c>
      <x:c r="B7" s="23" t="str">
        <x:v>P00</x:v>
      </x:c>
      <x:c r="C7" s="23" t="str">
        <x:v>SQLAlchemy and Psycopg foundation</x:v>
      </x:c>
      <x:c r="D7" s="23" t="str">
        <x:v>Database</x:v>
      </x:c>
      <x:c r="E7" s="23" t="str">
        <x:v>Feature</x:v>
      </x:c>
      <x:c r="F7" s="23" t="str">
        <x:v>Complete</x:v>
      </x:c>
      <x:c r="G7" s="23" t="str">
        <x:v>codex/backend-integration</x:v>
      </x:c>
      <x:c r="H7" s="23" t="str">
        <x:v>4ddd199</x:v>
      </x:c>
      <x:c r="I7" s="23" t="str">
        <x:v>api/payment_module/database.py</x:v>
      </x:c>
      <x:c r="J7" s="23" t="str">
        <x:v>Backend Team</x:v>
      </x:c>
      <x:c r="K7" s="38" t="n">
        <x:v>46259</x:v>
      </x:c>
      <x:c r="L7" s="23" t="str">
        <x:v>Session and rollback conventions</x:v>
      </x:c>
    </x:row>
    <x:row r="8" ht="48" hidden="0" customHeight="1">
      <x:c r="A8" s="23" t="str">
        <x:v>DEV-0005</x:v>
      </x:c>
      <x:c r="B8" s="23" t="str">
        <x:v>P00</x:v>
      </x:c>
      <x:c r="C8" s="23" t="str">
        <x:v>Alembic foundation migration</x:v>
      </x:c>
      <x:c r="D8" s="23" t="str">
        <x:v>Database</x:v>
      </x:c>
      <x:c r="E8" s="23" t="str">
        <x:v>Migration</x:v>
      </x:c>
      <x:c r="F8" s="23" t="str">
        <x:v>Complete</x:v>
      </x:c>
      <x:c r="G8" s="23" t="str">
        <x:v>codex/backend-integration</x:v>
      </x:c>
      <x:c r="H8" s="23" t="str">
        <x:v>4ddd199</x:v>
      </x:c>
      <x:c r="I8" s="23" t="str">
        <x:v>20260819_0001</x:v>
      </x:c>
      <x:c r="J8" s="23" t="str">
        <x:v>Backend Team</x:v>
      </x:c>
      <x:c r="K8" s="38" t="n">
        <x:v>46259</x:v>
      </x:c>
      <x:c r="L8" s="23" t="str">
        <x:v>Creates plural system_settings table</x:v>
      </x:c>
    </x:row>
    <x:row r="9" ht="48" hidden="0" customHeight="1">
      <x:c r="A9" s="23" t="str">
        <x:v>DEV-0006</x:v>
      </x:c>
      <x:c r="B9" s="23" t="str">
        <x:v>P00</x:v>
      </x:c>
      <x:c r="C9" s="23" t="str">
        <x:v>Deterministic seed</x:v>
      </x:c>
      <x:c r="D9" s="23" t="str">
        <x:v>Database</x:v>
      </x:c>
      <x:c r="E9" s="23" t="str">
        <x:v>Feature</x:v>
      </x:c>
      <x:c r="F9" s="23" t="str">
        <x:v>Complete</x:v>
      </x:c>
      <x:c r="G9" s="23" t="str">
        <x:v>codex/backend-integration</x:v>
      </x:c>
      <x:c r="H9" s="23" t="str">
        <x:v>4ddd199</x:v>
      </x:c>
      <x:c r="I9" s="23" t="str">
        <x:v>python -m payment_module.seed</x:v>
      </x:c>
      <x:c r="J9" s="23" t="str">
        <x:v>Backend Team</x:v>
      </x:c>
      <x:c r="K9" s="38" t="n">
        <x:v>46259</x:v>
      </x:c>
      <x:c r="L9" s="23" t="str">
        <x:v>Four idempotent system settings</x:v>
      </x:c>
    </x:row>
    <x:row r="10" ht="36" hidden="0" customHeight="1">
      <x:c r="A10" s="23" t="str">
        <x:v>DEV-0007</x:v>
      </x:c>
      <x:c r="B10" s="23" t="str">
        <x:v>P00</x:v>
      </x:c>
      <x:c r="C10" s="23" t="str">
        <x:v>Problem responses</x:v>
      </x:c>
      <x:c r="D10" s="23" t="str">
        <x:v>API</x:v>
      </x:c>
      <x:c r="E10" s="23" t="str">
        <x:v>Middleware</x:v>
      </x:c>
      <x:c r="F10" s="23" t="str">
        <x:v>Complete</x:v>
      </x:c>
      <x:c r="G10" s="23" t="str">
        <x:v>codex/backend-integration</x:v>
      </x:c>
      <x:c r="H10" s="23" t="str">
        <x:v>4ddd199</x:v>
      </x:c>
      <x:c r="I10" s="23" t="str">
        <x:v>application/problem+json</x:v>
      </x:c>
      <x:c r="J10" s="23" t="str">
        <x:v>Backend Team</x:v>
      </x:c>
      <x:c r="K10" s="38" t="n">
        <x:v>46259</x:v>
      </x:c>
      <x:c r="L10" s="23" t="str">
        <x:v>Standardized 404 and request ID</x:v>
      </x:c>
    </x:row>
    <x:row r="11" ht="36" hidden="0" customHeight="1">
      <x:c r="A11" s="23" t="str">
        <x:v>DEV-0008</x:v>
      </x:c>
      <x:c r="B11" s="23" t="str">
        <x:v>P00</x:v>
      </x:c>
      <x:c r="C11" s="23" t="str">
        <x:v>Correlation IDs and logging</x:v>
      </x:c>
      <x:c r="D11" s="23" t="str">
        <x:v>Operations</x:v>
      </x:c>
      <x:c r="E11" s="23" t="str">
        <x:v>Middleware</x:v>
      </x:c>
      <x:c r="F11" s="23" t="str">
        <x:v>Complete</x:v>
      </x:c>
      <x:c r="G11" s="23" t="str">
        <x:v>codex/backend-integration</x:v>
      </x:c>
      <x:c r="H11" s="23" t="str">
        <x:v>4ddd199</x:v>
      </x:c>
      <x:c r="I11" s="23" t="str">
        <x:v>X-Request-ID</x:v>
      </x:c>
      <x:c r="J11" s="23" t="str">
        <x:v>Backend Team</x:v>
      </x:c>
      <x:c r="K11" s="38" t="n">
        <x:v>46259</x:v>
      </x:c>
      <x:c r="L11" s="23" t="str">
        <x:v>Structured request logs</x:v>
      </x:c>
    </x:row>
    <x:row r="12" ht="60" hidden="0" customHeight="1">
      <x:c r="A12" s="23" t="str">
        <x:v>DEV-0009</x:v>
      </x:c>
      <x:c r="B12" s="23" t="str">
        <x:v>P00</x:v>
      </x:c>
      <x:c r="C12" s="23" t="str">
        <x:v>CORS configuration</x:v>
      </x:c>
      <x:c r="D12" s="23" t="str">
        <x:v>Security</x:v>
      </x:c>
      <x:c r="E12" s="23" t="str">
        <x:v>Middleware</x:v>
      </x:c>
      <x:c r="F12" s="23" t="str">
        <x:v>Complete</x:v>
      </x:c>
      <x:c r="G12" s="23" t="str">
        <x:v>codex/backend-integration</x:v>
      </x:c>
      <x:c r="H12" s="23" t="str">
        <x:v>4ddd199</x:v>
      </x:c>
      <x:c r="I12" s="23" t="str">
        <x:v>Origin http://127.0.0.1:5175</x:v>
      </x:c>
      <x:c r="J12" s="23" t="str">
        <x:v>Backend Team</x:v>
      </x:c>
      <x:c r="K12" s="38" t="n">
        <x:v>46259</x:v>
      </x:c>
      <x:c r="L12" s="23" t="str">
        <x:v>Configurable comma-separated origins</x:v>
      </x:c>
    </x:row>
    <x:row r="13" ht="48" hidden="0" customHeight="1">
      <x:c r="A13" s="23" t="str">
        <x:v>DEV-0010</x:v>
      </x:c>
      <x:c r="B13" s="23" t="str">
        <x:v>P00</x:v>
      </x:c>
      <x:c r="C13" s="23" t="str">
        <x:v>Philippine timezone</x:v>
      </x:c>
      <x:c r="D13" s="23" t="str">
        <x:v>Platform</x:v>
      </x:c>
      <x:c r="E13" s="23" t="str">
        <x:v>Convention</x:v>
      </x:c>
      <x:c r="F13" s="23" t="str">
        <x:v>Complete</x:v>
      </x:c>
      <x:c r="G13" s="23" t="str">
        <x:v>codex/backend-integration</x:v>
      </x:c>
      <x:c r="H13" s="23" t="str">
        <x:v>4ddd199</x:v>
      </x:c>
      <x:c r="I13" s="23" t="str">
        <x:v>Asia/Manila</x:v>
      </x:c>
      <x:c r="J13" s="23" t="str">
        <x:v>Backend Team</x:v>
      </x:c>
      <x:c r="K13" s="38" t="n">
        <x:v>46259</x:v>
      </x:c>
      <x:c r="L13" s="23" t="str">
        <x:v>API and database session aligned</x:v>
      </x:c>
    </x:row>
    <x:row r="14" ht="36" hidden="0" customHeight="1">
      <x:c r="A14" s="23" t="str">
        <x:v>DEV-0011</x:v>
      </x:c>
      <x:c r="B14" s="23" t="str">
        <x:v>P00</x:v>
      </x:c>
      <x:c r="C14" s="23" t="str">
        <x:v>Hybrid frontend adapter</x:v>
      </x:c>
      <x:c r="D14" s="23" t="str">
        <x:v>Frontend</x:v>
      </x:c>
      <x:c r="E14" s="23" t="str">
        <x:v>Feature</x:v>
      </x:c>
      <x:c r="F14" s="23" t="str">
        <x:v>Complete</x:v>
      </x:c>
      <x:c r="G14" s="23" t="str">
        <x:v>codex/backend-integration</x:v>
      </x:c>
      <x:c r="H14" s="23" t="str">
        <x:v>4ddd199</x:v>
      </x:c>
      <x:c r="I14" s="23" t="str">
        <x:v>API connected indicator</x:v>
      </x:c>
      <x:c r="J14" s="23" t="str">
        <x:v>Frontend Team</x:v>
      </x:c>
      <x:c r="K14" s="38" t="n">
        <x:v>46259</x:v>
      </x:c>
      <x:c r="L14" s="23" t="str">
        <x:v>Mock, hybrid and API modes</x:v>
      </x:c>
    </x:row>
    <x:row r="15" ht="48" hidden="0" customHeight="1">
      <x:c r="A15" s="23" t="str">
        <x:v>DEV-0012</x:v>
      </x:c>
      <x:c r="B15" s="23" t="str">
        <x:v>P00</x:v>
      </x:c>
      <x:c r="C15" s="23" t="str">
        <x:v>Backend CI and packaging</x:v>
      </x:c>
      <x:c r="D15" s="23" t="str">
        <x:v>Delivery</x:v>
      </x:c>
      <x:c r="E15" s="23" t="str">
        <x:v>CI/CD</x:v>
      </x:c>
      <x:c r="F15" s="23" t="str">
        <x:v>Complete</x:v>
      </x:c>
      <x:c r="G15" s="23" t="str">
        <x:v>codex/backend-integration</x:v>
      </x:c>
      <x:c r="H15" s="23" t="str">
        <x:v>4ddd199</x:v>
      </x:c>
      <x:c r="I15" s="23" t="str">
        <x:v>GitHub run 32719293106</x:v>
      </x:c>
      <x:c r="J15" s="23" t="str">
        <x:v>Backend Team</x:v>
      </x:c>
      <x:c r="K15" s="38" t="n">
        <x:v>46258</x:v>
      </x:c>
      <x:c r="L15" s="23" t="str">
        <x:v>Test and package jobs successful</x:v>
      </x:c>
    </x:row>
    <x:row r="16" ht="48" hidden="0" customHeight="1">
      <x:c r="A16" s="24" t="str">
        <x:v>DEV-0013</x:v>
      </x:c>
      <x:c r="B16" s="24" t="str">
        <x:v>P00</x:v>
      </x:c>
      <x:c r="C16" s="24" t="str">
        <x:v>Local Docker validation</x:v>
      </x:c>
      <x:c r="D16" s="24" t="str">
        <x:v>Delivery</x:v>
      </x:c>
      <x:c r="E16" s="24" t="str">
        <x:v>Environment</x:v>
      </x:c>
      <x:c r="F16" s="24" t="str">
        <x:v>Complete</x:v>
      </x:c>
      <x:c r="G16" s="24" t="str">
        <x:v>codex/backend-integration</x:v>
      </x:c>
      <x:c r="H16" s="24" t="str">
        <x:v>4ddd199</x:v>
      </x:c>
      <x:c r="I16" s="24" t="str">
        <x:v>Docker 29.6.2 / WSL 2.7.12</x:v>
      </x:c>
      <x:c r="J16" s="24" t="str">
        <x:v>Paolo Ylag</x:v>
      </x:c>
      <x:c r="K16" s="39" t="n">
        <x:v>46259</x:v>
      </x:c>
      <x:c r="L16" s="24" t="str">
        <x:v>PostgreSQL and API containers healthy</x:v>
      </x:c>
    </x:row>
    <x:row r="17">
      <x:c r="A17" t="str">
        <x:v>DEV-0014</x:v>
      </x:c>
      <x:c r="B17" t="str">
        <x:v>P03</x:v>
      </x:c>
      <x:c r="C17" t="str">
        <x:v>Concurrent request safety and bounded pagination</x:v>
      </x:c>
      <x:c r="D17" t="str">
        <x:v>Payment Requests</x:v>
      </x:c>
      <x:c r="E17" t="str">
        <x:v>Reliability</x:v>
      </x:c>
      <x:c r="F17" t="str">
        <x:v>Complete</x:v>
      </x:c>
      <x:c r="G17" t="str">
        <x:v>codex/backend-integration</x:v>
      </x:c>
      <x:c r="H17" t="str">
        <x:v>f9555f2 + concurrency test changes</x:v>
      </x:c>
      <x:c r="I17" t="str">
        <x:v>api/payment_module/routers/requests.py; tests/test_payment_requests.py</x:v>
      </x:c>
      <x:c r="J17" t="str">
        <x:v>Backend Team</x:v>
      </x:c>
      <x:c r="K17" t="n">
        <x:v>46285</x:v>
      </x:c>
      <x:c r="L17" t="str">
        <x:v>Row/advisory locks, idempotency recheck, 100-row page cap and batched serialization</x:v>
      </x:c>
    </x:row>
    <x:row r="18">
      <x:c r="A18" t="str">
        <x:v>DEV-0015</x:v>
      </x:c>
      <x:c r="B18" t="str">
        <x:v>P03</x:v>
      </x:c>
      <x:c r="C18" t="str">
        <x:v>Server-side request search, filters and stable sorting</x:v>
      </x:c>
      <x:c r="D18" t="str">
        <x:v>Payment Requests</x:v>
      </x:c>
      <x:c r="E18" t="str">
        <x:v>Feature</x:v>
      </x:c>
      <x:c r="F18" t="str">
        <x:v>Complete</x:v>
      </x:c>
      <x:c r="G18" t="str">
        <x:v>codex/backend-integration</x:v>
      </x:c>
      <x:c r="H18" t="str">
        <x:v>working tree after 1752be2</x:v>
      </x:c>
      <x:c r="I18" t="str">
        <x:v>api/payment_module/routers/requests.py; src/data-source.js; src/prototype.js</x:v>
      </x:c>
      <x:c r="J18" t="str">
        <x:v>Backend Team</x:v>
      </x:c>
      <x:c r="K18" t="n">
        <x:v>46286</x:v>
      </x:c>
      <x:c r="L18" t="str">
        <x:v>Role-scoped pagination and API-backed frontend filters</x:v>
      </x:c>
    </x:row>
    <x:row r="19">
      <x:c r="A19" t="str">
        <x:v>DEV-0016</x:v>
      </x:c>
      <x:c r="B19" t="str">
        <x:v>P03</x:v>
      </x:c>
      <x:c r="C19" t="str">
        <x:v>Audited 90-day draft archival</x:v>
      </x:c>
      <x:c r="D19" t="str">
        <x:v>Operations</x:v>
      </x:c>
      <x:c r="E19" t="str">
        <x:v>Retention</x:v>
      </x:c>
      <x:c r="F19" t="str">
        <x:v>Complete</x:v>
      </x:c>
      <x:c r="G19" t="str">
        <x:v>codex/backend-integration</x:v>
      </x:c>
      <x:c r="H19" t="str">
        <x:v>working tree after 1752be2</x:v>
      </x:c>
      <x:c r="I19" t="str">
        <x:v>api/payment_module/maintenance.py; tests/test_maintenance.py</x:v>
      </x:c>
      <x:c r="J19" t="str">
        <x:v>Backend Team</x:v>
      </x:c>
      <x:c r="K19" t="n">
        <x:v>46286</x:v>
      </x:c>
      <x:c r="L19" t="str">
        <x:v>Explicitly enabled, batched, dry-run capable and does not delete submitted records</x:v>
      </x:c>
    </x:row>
    <x:row r="20">
      <x:c r="A20" t="str">
        <x:v>DEV-0017</x:v>
      </x:c>
      <x:c r="B20" t="str">
        <x:v>P03</x:v>
      </x:c>
      <x:c r="C20" t="str">
        <x:v>Request authorization and monetary boundary hardening</x:v>
      </x:c>
      <x:c r="D20" t="str">
        <x:v>Security</x:v>
      </x:c>
      <x:c r="E20" t="str">
        <x:v>Test</x:v>
      </x:c>
      <x:c r="F20" t="str">
        <x:v>Complete</x:v>
      </x:c>
      <x:c r="G20" t="str">
        <x:v>codex/backend-integration</x:v>
      </x:c>
      <x:c r="H20" t="str">
        <x:v>working tree after 1752be2</x:v>
      </x:c>
      <x:c r="I20" t="str">
        <x:v>tests/test_payment_requests.py</x:v>
      </x:c>
      <x:c r="J20" t="str">
        <x:v>Backend Team</x:v>
      </x:c>
      <x:c r="K20" t="n">
        <x:v>46286</x:v>
      </x:c>
      <x:c r="L20" t="str">
        <x:v>Manager scope, explicit deny, privileged-read audit and PHP/USD/EUR boundaries</x:v>
      </x:c>
    </x:row>
    <x:row r="21">
      <x:c r="A21" t="str">
        <x:v>DEV-0018</x:v>
      </x:c>
      <x:c r="B21" t="str">
        <x:v>P03</x:v>
      </x:c>
      <x:c r="C21" t="str">
        <x:v>Phase 03 request API documentation</x:v>
      </x:c>
      <x:c r="D21" t="str">
        <x:v>Documentation</x:v>
      </x:c>
      <x:c r="E21" t="str">
        <x:v>Documentation</x:v>
      </x:c>
      <x:c r="F21" t="str">
        <x:v>Complete</x:v>
      </x:c>
      <x:c r="G21" t="str">
        <x:v>codex/backend-integration</x:v>
      </x:c>
      <x:c r="H21" t="str">
        <x:v>working tree after 1752be2</x:v>
      </x:c>
      <x:c r="I21" t="str">
        <x:v>docs/phase-03-api.md</x:v>
      </x:c>
      <x:c r="J21" t="str">
        <x:v>Backend Team</x:v>
      </x:c>
      <x:c r="K21" t="n">
        <x:v>46286</x:v>
      </x:c>
      <x:c r="L21" t="str">
        <x:v>Documents query parameters, lifecycle, validation, retention and error behavior</x:v>
      </x:c>
    </x:row>
    <x:row r="22">
      <x:c r="A22" t="str">
        <x:v>DEV-0019</x:v>
      </x:c>
      <x:c r="B22" t="str">
        <x:v>P04</x:v>
      </x:c>
      <x:c r="C22" t="str">
        <x:v>Document metadata, version and link persistence</x:v>
      </x:c>
      <x:c r="D22" t="str">
        <x:v>Documents</x:v>
      </x:c>
      <x:c r="E22" t="str">
        <x:v>Feature</x:v>
      </x:c>
      <x:c r="F22" t="str">
        <x:v>Complete</x:v>
      </x:c>
      <x:c r="G22" t="str">
        <x:v>codex/backend-integration</x:v>
      </x:c>
      <x:c r="H22" t="str">
        <x:v>current working tree</x:v>
      </x:c>
      <x:c r="I22" t="str">
        <x:v>models/documents.py; migration 20260923_0008</x:v>
      </x:c>
      <x:c r="J22" t="str">
        <x:v>Backend Team</x:v>
      </x:c>
      <x:c r="K22" t="n">
        <x:v>46288</x:v>
      </x:c>
      <x:c r="L22" t="str">
        <x:v>Private document metadata, immutable versions and request/line links persisted</x:v>
      </x:c>
    </x:row>
    <x:row r="23">
      <x:c r="A23" t="str">
        <x:v>DEV-0020</x:v>
      </x:c>
      <x:c r="B23" t="str">
        <x:v>P04</x:v>
      </x:c>
      <x:c r="C23" t="str">
        <x:v>S3-compatible storage and local MinIO</x:v>
      </x:c>
      <x:c r="D23" t="str">
        <x:v>Documents</x:v>
      </x:c>
      <x:c r="E23" t="str">
        <x:v>Feature</x:v>
      </x:c>
      <x:c r="F23" t="str">
        <x:v>Complete</x:v>
      </x:c>
      <x:c r="G23" t="str">
        <x:v>codex/backend-integration</x:v>
      </x:c>
      <x:c r="H23" t="str">
        <x:v>current working tree</x:v>
      </x:c>
      <x:c r="I23" t="str">
        <x:v>document storage service; docker-compose.yml</x:v>
      </x:c>
      <x:c r="J23" t="str">
        <x:v>Backend Team</x:v>
      </x:c>
      <x:c r="K23" t="n">
        <x:v>46288</x:v>
      </x:c>
      <x:c r="L23" t="str">
        <x:v>Private versioned MinIO bucket validates the AWS S3-compatible contract locally</x:v>
      </x:c>
    </x:row>
    <x:row r="24">
      <x:c r="A24" t="str">
        <x:v>DEV-0021</x:v>
      </x:c>
      <x:c r="B24" t="str">
        <x:v>P04</x:v>
      </x:c>
      <x:c r="C24" t="str">
        <x:v>Configurable required-document evaluation</x:v>
      </x:c>
      <x:c r="D24" t="str">
        <x:v>Documents</x:v>
      </x:c>
      <x:c r="E24" t="str">
        <x:v>Feature</x:v>
      </x:c>
      <x:c r="F24" t="str">
        <x:v>Complete</x:v>
      </x:c>
      <x:c r="G24" t="str">
        <x:v>codex/backend-integration</x:v>
      </x:c>
      <x:c r="H24" t="str">
        <x:v>current working tree</x:v>
      </x:c>
      <x:c r="I24" t="str">
        <x:v>document_requirement_rules; submission validation</x:v>
      </x:c>
      <x:c r="J24" t="str">
        <x:v>Backend Team</x:v>
      </x:c>
      <x:c r="K24" t="n">
        <x:v>46288</x:v>
      </x:c>
      <x:c r="L24" t="str">
        <x:v>Request- and line-level rules remain non-blocking until configured</x:v>
      </x:c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</x:row>
    <x:row r="26">
      <x:c r="A26" t="str">
        <x:v>DEV-0023</x:v>
      </x:c>
      <x:c r="B26" t="str">
        <x:v>P04</x:v>
      </x:c>
      <x:c r="C26" t="str">
        <x:v>Document frontend API integration</x:v>
      </x:c>
      <x:c r="D26" t="str">
        <x:v>Frontend</x:v>
      </x:c>
      <x:c r="E26" t="str">
        <x:v>Feature</x:v>
      </x:c>
      <x:c r="F26" t="str">
        <x:v>Complete</x:v>
      </x:c>
      <x:c r="G26" t="str">
        <x:v>codex/backend-integration</x:v>
      </x:c>
      <x:c r="H26" t="str">
        <x:v>current working tree</x:v>
      </x:c>
      <x:c r="I26" t="str">
        <x:v>src/data-source.js; src/prototype.js</x:v>
      </x:c>
      <x:c r="J26" t="str">
        <x:v>Frontend Team</x:v>
      </x:c>
      <x:c r="K26" t="n">
        <x:v>46288</x:v>
      </x:c>
      <x:c r="L26" t="str">
        <x:v>Upload, preview, replace, remove, duplicate warnings and Finance controls; sample fallback retained</x:v>
      </x:c>
    </x:row>
    <x:row r="27">
      <x:c r="A27" t="str">
        <x:v>DEV-0024</x:v>
      </x:c>
      <x:c r="B27" t="str">
        <x:v>P04</x:v>
      </x:c>
      <x:c r="C27" t="str">
        <x:v>Phase 04 second-slice documentation</x:v>
      </x:c>
      <x:c r="D27" t="str">
        <x:v>Documentation</x:v>
      </x:c>
      <x:c r="E27" t="str">
        <x:v>Documentation</x:v>
      </x:c>
      <x:c r="F27" t="str">
        <x:v>Complete</x:v>
      </x:c>
      <x:c r="G27" t="str">
        <x:v>codex/backend-integration</x:v>
      </x:c>
      <x:c r="H27" t="str">
        <x:v>current working tree</x:v>
      </x:c>
      <x:c r="I27" t="str">
        <x:v>docs/phase-04-api.md; docs/phase-04-validation.md</x:v>
      </x:c>
      <x:c r="J27" t="str">
        <x:v>Backend Team</x:v>
      </x:c>
      <x:c r="K27" t="n">
        <x:v>46288</x:v>
      </x:c>
      <x:c r="L27" t="str">
        <x:v>Implemented scope and production gates documented</x:v>
      </x:c>
    </x:row>
    <x:row r="28">
      <x:c r="A28" t="str">
        <x:v>DEV-0025</x:v>
      </x:c>
      <x:c r="B28" t="str">
        <x:v>P03</x:v>
      </x:c>
      <x:c r="C28" t="str">
        <x:v>Procurement-backed P.O. submission validation and snapshots</x:v>
      </x:c>
      <x:c r="D28" t="str">
        <x:v>Payment Requests</x:v>
      </x:c>
      <x:c r="E28" t="str">
        <x:v>Feature</x:v>
      </x:c>
      <x:c r="F28" t="str">
        <x:v>Complete</x:v>
      </x:c>
      <x:c r="G28" t="str">
        <x:v>codex/backend-integration</x:v>
      </x:c>
      <x:c r="H28" t="str">
        <x:v>current working tree</x:v>
      </x:c>
      <x:c r="I28" t="str">
        <x:v>procurement_adapter.py; routers/requests.py</x:v>
      </x:c>
      <x:c r="J28" t="str">
        <x:v>Backend Team</x:v>
      </x:c>
      <x:c r="K28" t="n">
        <x:v>46290</x:v>
      </x:c>
      <x:c r="L28" t="str">
        <x:v>Backend independently verifies eligibility, amount, currency, vendor and duplicate use; safe vendor/P.O. facts are frozen at submission</x:v>
      </x:c>
    </x:row>
    <x:row r="29">
      <x:c r="A29" t="str">
        <x:v>DEV-0026</x:v>
      </x:c>
      <x:c r="B29" t="str">
        <x:v>P03</x:v>
      </x:c>
      <x:c r="C29" t="str">
        <x:v>Confirmed Cash Advance submission controls</x:v>
      </x:c>
      <x:c r="D29" t="str">
        <x:v>Payment Requests</x:v>
      </x:c>
      <x:c r="E29" t="str">
        <x:v>Feature</x:v>
      </x:c>
      <x:c r="F29" t="str">
        <x:v>Complete</x:v>
      </x:c>
      <x:c r="G29" t="str">
        <x:v>codex/backend-integration</x:v>
      </x:c>
      <x:c r="H29" t="str">
        <x:v>current working tree</x:v>
      </x:c>
      <x:c r="I29" t="str">
        <x:v>routers/requests.py; tests/test_payment_requests.py</x:v>
      </x:c>
      <x:c r="J29" t="str">
        <x:v>Backend Team</x:v>
      </x:c>
      <x:c r="K29" t="n">
        <x:v>46290</x:v>
      </x:c>
      <x:c r="L29" t="str">
        <x:v>PHP 40,000 cap, exact 15-day liquidation due date and one outstanding advance per requestor are enforced transactionally</x:v>
      </x:c>
    </x:row>
    <x:row r="30">
      <x:c r="A30" t="str">
        <x:v>DEV-0027</x:v>
      </x:c>
      <x:c r="B30" t="str">
        <x:v>P03</x:v>
      </x:c>
      <x:c r="C30" t="str">
        <x:v>Finance timing and petty-cash guidance</x:v>
      </x:c>
      <x:c r="D30" t="str">
        <x:v>Frontend</x:v>
      </x:c>
      <x:c r="E30" t="str">
        <x:v>Feature</x:v>
      </x:c>
      <x:c r="F30" t="str">
        <x:v>Complete</x:v>
      </x:c>
      <x:c r="G30" t="str">
        <x:v>codex/backend-integration</x:v>
      </x:c>
      <x:c r="H30" t="str">
        <x:v>current working tree</x:v>
      </x:c>
      <x:c r="I30" t="str">
        <x:v>src/prototype.js</x:v>
      </x:c>
      <x:c r="J30" t="str">
        <x:v>Frontend Team</x:v>
      </x:c>
      <x:c r="K30" t="n">
        <x:v>46290</x:v>
      </x:c>
      <x:c r="L30" t="str">
        <x:v>Reimbursement form displays nonblocking 15-day lead time, 30-day invoice, PHP 3,000 petty-cash and 15th/30th batch guidance</x:v>
      </x:c>
    </x:row>
    <x:row r="31">
      <x:c r="A31" t="str">
        <x:v>DEV-0028</x:v>
      </x:c>
      <x:c r="B31" t="str">
        <x:v>P03/P04</x:v>
      </x:c>
      <x:c r="C31" t="str">
        <x:v>Current local regression and validation records</x:v>
      </x:c>
      <x:c r="D31" t="str">
        <x:v>Quality</x:v>
      </x:c>
      <x:c r="E31" t="str">
        <x:v>Documentation</x:v>
      </x:c>
      <x:c r="F31" t="str">
        <x:v>Complete</x:v>
      </x:c>
      <x:c r="G31" t="str">
        <x:v>codex/backend-integration</x:v>
      </x:c>
      <x:c r="H31" t="str">
        <x:v>current working tree</x:v>
      </x:c>
      <x:c r="I31" t="str">
        <x:v>docs/phase-03-validation.md; docs/phase-04-validation.md; QA register</x:v>
      </x:c>
      <x:c r="J31" t="str">
        <x:v>Backend Team</x:v>
      </x:c>
      <x:c r="K31" t="n">
        <x:v>46290</x:v>
      </x:c>
      <x:c r="L31" t="str">
        <x:v>Focused 30-test request suite, complete 72-test Docker/PostgreSQL regression, frontend build and healthy rebuilt API recorded</x:v>
      </x:c>
    </x:row>
    <x:row r="32">
      <x:c r="A32" t="str">
        <x:v>DEV-0029</x:v>
      </x:c>
      <x:c r="B32" t="str">
        <x:v>P03</x:v>
      </x:c>
      <x:c r="C32" t="str">
        <x:v>Procurement reference-data initial load correction</x:v>
      </x:c>
      <x:c r="D32" t="str">
        <x:v>Frontend</x:v>
      </x:c>
      <x:c r="E32" t="str">
        <x:v>Defect Fix</x:v>
      </x:c>
      <x:c r="F32" t="str">
        <x:v>Complete</x:v>
      </x:c>
      <x:c r="G32" t="str">
        <x:v>codex/backend-integration</x:v>
      </x:c>
      <x:c r="H32" t="str">
        <x:v>current working tree</x:v>
      </x:c>
      <x:c r="I32" t="str">
        <x:v>src/prototype.js</x:v>
      </x:c>
      <x:c r="J32" t="str">
        <x:v>Frontend Team</x:v>
      </x:c>
      <x:c r="K32" t="n">
        <x:v>46290</x:v>
      </x:c>
      <x:c r="L32" t="str">
        <x:v>Not-loaded Procurement state is distinct from standalone fallback so API-connected request forms always fetch current eligible P.O. records</x:v>
      </x:c>
    </x:row>
    <x:row r="33">
      <x:c r="A33" t="str">
        <x:v>DEV-0030</x:v>
      </x:c>
      <x:c r="B33" t="str">
        <x:v>P03/P04</x:v>
      </x:c>
      <x:c r="C33" t="str">
        <x:v>Confirmed General Payment document requirements</x:v>
      </x:c>
      <x:c r="D33" t="str">
        <x:v>Payment Requests</x:v>
      </x:c>
      <x:c r="E33" t="str">
        <x:v>Business Rule</x:v>
      </x:c>
      <x:c r="F33" t="str">
        <x:v>Complete</x:v>
      </x:c>
      <x:c r="G33" t="str">
        <x:v>codex/backend-integration</x:v>
      </x:c>
      <x:c r="H33" t="str">
        <x:v>current working tree</x:v>
      </x:c>
      <x:c r="I33" t="str">
        <x:v>routers/requests.py; routers/documents.py; src/prototype.js</x:v>
      </x:c>
      <x:c r="J33" t="str">
        <x:v>Backend Team</x:v>
      </x:c>
      <x:c r="K33" t="n">
        <x:v>46290</x:v>
      </x:c>
      <x:c r="L33" t="str">
        <x:v>Billing / SOA / Quotation is always required; BIR 2303 dynamically becomes blocking when the requestor marks a new supplier</x:v>
      </x:c>
    </x:row>
    <x:row r="34">
      <x:c r="A34" t="str">
        <x:v>DEV-0031</x:v>
      </x:c>
      <x:c r="B34" t="str">
        <x:v>P02/P03/P04</x:v>
      </x:c>
      <x:c r="C34" t="str">
        <x:v>Responsive layout and content-density audit</x:v>
      </x:c>
      <x:c r="D34" t="str">
        <x:v>Frontend</x:v>
      </x:c>
      <x:c r="E34" t="str">
        <x:v>UX</x:v>
      </x:c>
      <x:c r="F34" t="str">
        <x:v>Complete</x:v>
      </x:c>
      <x:c r="G34" t="str">
        <x:v>codex/backend-integration</x:v>
      </x:c>
      <x:c r="H34" t="str">
        <x:v>cross-phase closeout</x:v>
      </x:c>
      <x:c r="I34" t="str">
        <x:v>src/prototype.js; src/boilerplate-shell.css; src/styles.css</x:v>
      </x:c>
      <x:c r="J34" t="str">
        <x:v>Frontend Team</x:v>
      </x:c>
      <x:c r="K34" t="n">
        <x:v>46293</x:v>
      </x:c>
      <x:c r="L34" t="str">
        <x:v>Responsive tables, disclosures, administration navigation and compact mobile layouts verified across supported routes</x:v>
      </x:c>
    </x:row>
    <x:row r="35">
      <x:c r="A35" t="str">
        <x:v>DEV-0032</x:v>
      </x:c>
      <x:c r="B35" t="str">
        <x:v>P03/P04</x:v>
      </x:c>
      <x:c r="C35" t="str">
        <x:v>Unified accessible file-upload controls</x:v>
      </x:c>
      <x:c r="D35" t="str">
        <x:v>Frontend</x:v>
      </x:c>
      <x:c r="E35" t="str">
        <x:v>UX</x:v>
      </x:c>
      <x:c r="F35" t="str">
        <x:v>Complete</x:v>
      </x:c>
      <x:c r="G35" t="str">
        <x:v>codex/backend-integration</x:v>
      </x:c>
      <x:c r="H35" t="str">
        <x:v>cross-phase closeout</x:v>
      </x:c>
      <x:c r="I35" t="str">
        <x:v>src/prototype.js; src/App.jsx; src/styles.css</x:v>
      </x:c>
      <x:c r="J35" t="str">
        <x:v>Frontend Team</x:v>
      </x:c>
      <x:c r="K35" t="n">
        <x:v>46293</x:v>
      </x:c>
      <x:c r="L35" t="str">
        <x:v>Single, multiple, request-level, line-level, add and replace uploads share the line-item icon pattern</x:v>
      </x:c>
    </x:row>
    <x:row r="36">
      <x:c r="A36" t="str">
        <x:v>DEV-0033</x:v>
      </x:c>
      <x:c r="B36" t="str">
        <x:v>P00/P01/P02/P03/P04</x:v>
      </x:c>
      <x:c r="C36" t="str">
        <x:v>Cross-phase repository validation and records reconciliation</x:v>
      </x:c>
      <x:c r="D36" t="str">
        <x:v>Quality</x:v>
      </x:c>
      <x:c r="E36" t="str">
        <x:v>Validation</x:v>
      </x:c>
      <x:c r="F36" t="str">
        <x:v>Complete</x:v>
      </x:c>
      <x:c r="G36" t="str">
        <x:v>codex/backend-integration</x:v>
      </x:c>
      <x:c r="H36" t="str">
        <x:v>cross-phase closeout</x:v>
      </x:c>
      <x:c r="I36" t="str">
        <x:v>phase validation records; QA register</x:v>
      </x:c>
      <x:c r="J36" t="str">
        <x:v>Backend Team</x:v>
      </x:c>
      <x:c r="K36" t="n">
        <x:v>46293</x:v>
      </x:c>
      <x:c r="L36" t="str">
        <x:v>Frontend build, 73-test Docker regression and five-role Chrome lifecycle passed; Ruff awaits the hosted CI package environment</x:v>
      </x:c>
    </x:row>
    <x:row r="37" ht="15" hidden="0" customHeight="1">
      <x:c r="A37" t="str">
        <x:v>DEV-0034</x:v>
      </x:c>
      <x:c r="B37" t="str">
        <x:v>P04</x:v>
      </x:c>
      <x:c r="C37" t="str">
        <x:v>Per-line Reimbursement Proof of Payment closeout</x:v>
      </x:c>
      <x:c r="D37" t="str">
        <x:v>Documents</x:v>
      </x:c>
      <x:c r="E37" t="str">
        <x:v>Validation</x:v>
      </x:c>
      <x:c r="F37" t="str">
        <x:v>Complete</x:v>
      </x:c>
      <x:c r="G37" t="str">
        <x:v>codex/backend-integration</x:v>
      </x:c>
      <x:c r="H37" t="str">
        <x:v>current working tree</x:v>
      </x:c>
      <x:c r="I37" t="str">
        <x:v>src/data-source.js; tests/e2e/phase-04-documents.spec.js; docs/phase-04-validation.md</x:v>
      </x:c>
      <x:c r="J37" t="str">
        <x:v>Backend Team</x:v>
      </x:c>
      <x:c r="K37" s="40" t="n">
        <x:v>46294</x:v>
      </x:c>
      <x:c r="L37" t="str">
        <x:v>Mock and API rules now require Reimbursement support per line only; API-backed Chrome acceptance proves separate Proof of Payment uploads for both lines, no legacy request-level Invoice/Billing rule, and successful submission</x:v>
      </x:c>
    </x:row>
    <x:row r="38">
      <x:c r="A38" t="str">
        <x:v>DEV-0035</x:v>
      </x:c>
      <x:c r="B38" t="str">
        <x:v>P01/P02/P03/P04</x:v>
      </x:c>
      <x:c r="C38" t="str">
        <x:v>Local-development phase closeout and evidence reconciliation</x:v>
      </x:c>
      <x:c r="D38" t="str">
        <x:v>Quality</x:v>
      </x:c>
      <x:c r="E38" t="str">
        <x:v>Validation</x:v>
      </x:c>
      <x:c r="F38" t="str">
        <x:v>Complete</x:v>
      </x:c>
      <x:c r="G38" t="str">
        <x:v>codex/backend-integration</x:v>
      </x:c>
      <x:c r="H38" t="str">
        <x:v>current closeout commit</x:v>
      </x:c>
      <x:c r="I38" t="str">
        <x:v>PROJECT_MANIFEST.md; phase validation records; QA register</x:v>
      </x:c>
      <x:c r="J38" t="str">
        <x:v>Backend Team</x:v>
      </x:c>
      <x:c r="K38" t="n">
        <x:v>46302</x:v>
      </x:c>
      <x:c r="L38" t="str">
        <x:v>Browser-first five-role and administration walkthrough passed after synchronizing the idempotent development seed. Lint, migration base/head replay, deterministic seed, 99 backend tests at 90% coverage, six headed Chrome suites, dependency audits and production build passed.</x:v>
      </x:c>
    </x:row>
  </x:sheetData>
  <x:mergeCells>
    <x:mergeCell ref="A1:L1"/>
    <x:mergeCell ref="A2:L2"/>
  </x:mergeCells>
  <x:conditionalFormatting sqref="F4:F300">
    <x:cfRule type="containsText" dxfId="14" priority="1" operator="containsText" text="Passed"/>
    <x:cfRule type="containsText" dxfId="15" priority="2" operator="containsText" text="Validated"/>
    <x:cfRule type="containsText" dxfId="16" priority="3" operator="containsText" text="Accepted"/>
    <x:cfRule type="containsText" dxfId="17" priority="4" operator="containsText" text="Failed"/>
    <x:cfRule type="containsText" dxfId="18" priority="5" operator="containsText" text="Blocked"/>
    <x:cfRule type="containsText" dxfId="19" priority="6" operator="containsText" text="Not Run"/>
    <x:cfRule type="containsText" dxfId="20" priority="7" operator="containsText" text="Pending"/>
  </x:conditionalFormatting>
  <x:dataValidations count="1">
    <x:dataValidation type="list" sqref="F4:F300">
      <x:formula1>"Planned,In Progress,Complete,Blocked,Deferred"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ed4e82cf4c4f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5" hidden="0" customWidth="1"/>
    <x:col min="5" max="5" width="38" hidden="0" customWidth="1"/>
    <x:col min="6" max="6" width="38" hidden="0" customWidth="1"/>
    <x:col min="7" max="7" width="38" hidden="0" customWidth="1"/>
    <x:col min="8" max="8" width="14" hidden="0" customWidth="1"/>
    <x:col min="9" max="9" width="46" hidden="0" customWidth="1"/>
    <x:col min="10" max="10" width="16" hidden="0" customWidth="1"/>
    <x:col min="11" max="11" width="16" hidden="0" customWidth="1"/>
    <x:col min="12" max="12" width="16" hidden="0" customWidth="1"/>
    <x:col min="13" max="13" width="38" hidden="0" customWidth="1"/>
  </x:cols>
  <x:sheetData>
    <x:row r="1" ht="21.600000381469727" hidden="0" customHeight="1">
      <x:c r="A1" s="3" t="str">
        <x:v>Test Case Catalog</x:v>
      </x:c>
    </x:row>
    <x:row r="2" ht="15" hidden="0" customHeight="1">
      <x:c r="A2" s="6" t="str">
        <x:v>Master test definitions. Add a new execution row for every run; do not overwrite historical evidence.</x:v>
      </x:c>
    </x:row>
    <x:row r="3" ht="39.599998474121094" hidden="0" customHeight="1">
      <x:c r="A3" s="13" t="str">
        <x:v>Test ID</x:v>
      </x:c>
      <x:c r="B3" s="36" t="str">
        <x:v>Phase</x:v>
      </x:c>
      <x:c r="C3" s="36" t="str">
        <x:v>Feature</x:v>
      </x:c>
      <x:c r="D3" s="36" t="str">
        <x:v>Test Type</x:v>
      </x:c>
      <x:c r="E3" s="36" t="str">
        <x:v>Preconditions</x:v>
      </x:c>
      <x:c r="F3" s="36" t="str">
        <x:v>Steps</x:v>
      </x:c>
      <x:c r="G3" s="36" t="str">
        <x:v>Expected Result</x:v>
      </x:c>
      <x:c r="H3" s="36" t="str">
        <x:v>Automation</x:v>
      </x:c>
      <x:c r="I3" s="36" t="str">
        <x:v>Command / URL</x:v>
      </x:c>
      <x:c r="J3" s="36" t="str">
        <x:v>Priority</x:v>
      </x:c>
      <x:c r="K3" s="36" t="str">
        <x:v>Current Result</x:v>
      </x:c>
      <x:c r="L3" s="36" t="str">
        <x:v>Acceptance Required</x:v>
      </x:c>
      <x:c r="M3" s="14" t="str">
        <x:v>Evidence / Notes</x:v>
      </x:c>
    </x:row>
    <x:row r="4" ht="72" hidden="0" customHeight="1">
      <x:c r="A4" s="22" t="str">
        <x:v>TC-P00-001</x:v>
      </x:c>
      <x:c r="B4" s="22" t="str">
        <x:v>P00</x:v>
      </x:c>
      <x:c r="C4" s="22" t="str">
        <x:v>Process liveness</x:v>
      </x:c>
      <x:c r="D4" s="22" t="str">
        <x:v>API</x:v>
      </x:c>
      <x:c r="E4" s="22" t="str">
        <x:v>Compose stack running</x:v>
      </x:c>
      <x:c r="F4" s="22" t="str">
        <x:v>GET /healthz</x:v>
      </x:c>
      <x:c r="G4" s="22" t="str">
        <x:v>HTTP 200, status=ok, X-Request-ID present</x:v>
      </x:c>
      <x:c r="H4" s="22" t="str">
        <x:v>Automated</x:v>
      </x:c>
      <x:c r="I4" s="22" t="str">
        <x:v>pytest tests/test_system.py::test_liveness_returns_request_id</x:v>
      </x:c>
      <x:c r="J4" s="22" t="str">
        <x:v>Critical</x:v>
      </x:c>
      <x:c r="K4" s="22" t="str">
        <x:v>Passed</x:v>
      </x:c>
      <x:c r="L4" s="22" t="str">
        <x:v>Yes</x:v>
      </x:c>
      <x:c r="M4" s="22" t="str">
        <x:v>Local run 2026-08-25</x:v>
      </x:c>
    </x:row>
    <x:row r="5" ht="72" hidden="0" customHeight="1">
      <x:c r="A5" s="23" t="str">
        <x:v>TC-P00-002</x:v>
      </x:c>
      <x:c r="B5" s="23" t="str">
        <x:v>P00</x:v>
      </x:c>
      <x:c r="C5" s="23" t="str">
        <x:v>Database readiness</x:v>
      </x:c>
      <x:c r="D5" s="23" t="str">
        <x:v>Integration</x:v>
      </x:c>
      <x:c r="E5" s="23" t="str">
        <x:v>PostgreSQL healthy</x:v>
      </x:c>
      <x:c r="F5" s="23" t="str">
        <x:v>GET /readyz</x:v>
      </x:c>
      <x:c r="G5" s="23" t="str">
        <x:v>HTTP 200, status=ready, database=connected</x:v>
      </x:c>
      <x:c r="H5" s="23" t="str">
        <x:v>Automated</x:v>
      </x:c>
      <x:c r="I5" s="23" t="str">
        <x:v>pytest tests/test_system.py::test_readiness_requires_database</x:v>
      </x:c>
      <x:c r="J5" s="23" t="str">
        <x:v>Critical</x:v>
      </x:c>
      <x:c r="K5" s="23" t="str">
        <x:v>Passed</x:v>
      </x:c>
      <x:c r="L5" s="23" t="str">
        <x:v>Yes</x:v>
      </x:c>
      <x:c r="M5" s="23" t="str">
        <x:v>Local Docker run 2026-08-25</x:v>
      </x:c>
    </x:row>
    <x:row r="6" ht="84" hidden="0" customHeight="1">
      <x:c r="A6" s="23" t="str">
        <x:v>TC-P00-003</x:v>
      </x:c>
      <x:c r="B6" s="23" t="str">
        <x:v>P00</x:v>
      </x:c>
      <x:c r="C6" s="23" t="str">
        <x:v>API discovery</x:v>
      </x:c>
      <x:c r="D6" s="23" t="str">
        <x:v>API</x:v>
      </x:c>
      <x:c r="E6" s="23" t="str">
        <x:v>API running</x:v>
      </x:c>
      <x:c r="F6" s="23" t="str">
        <x:v>GET /api</x:v>
      </x:c>
      <x:c r="G6" s="23" t="str">
        <x:v>Version, environment, /api/v1 prefix and /docs returned</x:v>
      </x:c>
      <x:c r="H6" s="23" t="str">
        <x:v>Automated</x:v>
      </x:c>
      <x:c r="I6" s="23" t="str">
        <x:v>pytest tests/test_system.py::test_api_root_describes_versioned_api</x:v>
      </x:c>
      <x:c r="J6" s="23" t="str">
        <x:v>High</x:v>
      </x:c>
      <x:c r="K6" s="23" t="str">
        <x:v>Passed</x:v>
      </x:c>
      <x:c r="L6" s="23" t="str">
        <x:v>Yes</x:v>
      </x:c>
      <x:c r="M6" s="23" t="str">
        <x:v>Local run 2026-08-25</x:v>
      </x:c>
    </x:row>
    <x:row r="7" ht="96" hidden="0" customHeight="1">
      <x:c r="A7" s="23" t="str">
        <x:v>TC-P00-004</x:v>
      </x:c>
      <x:c r="B7" s="23" t="str">
        <x:v>P00</x:v>
      </x:c>
      <x:c r="C7" s="23" t="str">
        <x:v>System status</x:v>
      </x:c>
      <x:c r="D7" s="23" t="str">
        <x:v>Integration</x:v>
      </x:c>
      <x:c r="E7" s="23" t="str">
        <x:v>Database connected</x:v>
      </x:c>
      <x:c r="F7" s="23" t="str">
        <x:v>GET /api/v1/system/status</x:v>
      </x:c>
      <x:c r="G7" s="23" t="str">
        <x:v>Asia/Manila and database=connected</x:v>
      </x:c>
      <x:c r="H7" s="23" t="str">
        <x:v>Automated</x:v>
      </x:c>
      <x:c r="I7" s="23" t="str">
        <x:v>pytest tests/test_system.py::test_system_status_uses_philippine_timezone</x:v>
      </x:c>
      <x:c r="J7" s="23" t="str">
        <x:v>Critical</x:v>
      </x:c>
      <x:c r="K7" s="23" t="str">
        <x:v>Passed</x:v>
      </x:c>
      <x:c r="L7" s="23" t="str">
        <x:v>Yes</x:v>
      </x:c>
      <x:c r="M7" s="23" t="str">
        <x:v>Local Docker run 2026-08-25</x:v>
      </x:c>
    </x:row>
    <x:row r="8" ht="84" hidden="0" customHeight="1">
      <x:c r="A8" s="23" t="str">
        <x:v>TC-P00-005</x:v>
      </x:c>
      <x:c r="B8" s="23" t="str">
        <x:v>P00</x:v>
      </x:c>
      <x:c r="C8" s="23" t="str">
        <x:v>Problem response</x:v>
      </x:c>
      <x:c r="D8" s="23" t="str">
        <x:v>Negative</x:v>
      </x:c>
      <x:c r="E8" s="23" t="str">
        <x:v>API running</x:v>
      </x:c>
      <x:c r="F8" s="23" t="str">
        <x:v>GET /missing</x:v>
      </x:c>
      <x:c r="G8" s="23" t="str">
        <x:v>404 application/problem+json with code and request_id</x:v>
      </x:c>
      <x:c r="H8" s="23" t="str">
        <x:v>Automated</x:v>
      </x:c>
      <x:c r="I8" s="23" t="str">
        <x:v>pytest tests/test_system.py::test_not_found_uses_problem_details</x:v>
      </x:c>
      <x:c r="J8" s="23" t="str">
        <x:v>High</x:v>
      </x:c>
      <x:c r="K8" s="23" t="str">
        <x:v>Passed</x:v>
      </x:c>
      <x:c r="L8" s="23" t="str">
        <x:v>Yes</x:v>
      </x:c>
      <x:c r="M8" s="23" t="str">
        <x:v>Local run 2026-08-25</x:v>
      </x:c>
    </x:row>
    <x:row r="9" ht="72" hidden="0" customHeight="1">
      <x:c r="A9" s="23" t="str">
        <x:v>TC-P00-006</x:v>
      </x:c>
      <x:c r="B9" s="23" t="str">
        <x:v>P00</x:v>
      </x:c>
      <x:c r="C9" s="23" t="str">
        <x:v>Request ID propagation</x:v>
      </x:c>
      <x:c r="D9" s="23" t="str">
        <x:v>API</x:v>
      </x:c>
      <x:c r="E9" s="23" t="str">
        <x:v>API running</x:v>
      </x:c>
      <x:c r="F9" s="23" t="str">
        <x:v>Send X-Request-ID header</x:v>
      </x:c>
      <x:c r="G9" s="23" t="str">
        <x:v>Response returns the supplied trace identifier</x:v>
      </x:c>
      <x:c r="H9" s="23" t="str">
        <x:v>Manual</x:v>
      </x:c>
      <x:c r="I9" s="23" t="str">
        <x:v>Invoke-WebRequest with X-Request-ID</x:v>
      </x:c>
      <x:c r="J9" s="23" t="str">
        <x:v>Medium</x:v>
      </x:c>
      <x:c r="K9" s="23" t="str">
        <x:v>Passed</x:v>
      </x:c>
      <x:c r="L9" s="23" t="str">
        <x:v>No</x:v>
      </x:c>
      <x:c r="M9" s="23" t="str">
        <x:v>Supplied phase-00-propagation-test returned unchanged</x:v>
      </x:c>
    </x:row>
    <x:row r="10" ht="60" hidden="0" customHeight="1">
      <x:c r="A10" s="23" t="str">
        <x:v>TC-P00-007</x:v>
      </x:c>
      <x:c r="B10" s="23" t="str">
        <x:v>P00</x:v>
      </x:c>
      <x:c r="C10" s="23" t="str">
        <x:v>CORS preflight</x:v>
      </x:c>
      <x:c r="D10" s="23" t="str">
        <x:v>Security</x:v>
      </x:c>
      <x:c r="E10" s="23" t="str">
        <x:v>Frontend origin configured</x:v>
      </x:c>
      <x:c r="F10" s="23" t="str">
        <x:v>OPTIONS system status from 127.0.0.1:5175</x:v>
      </x:c>
      <x:c r="G10" s="23" t="str">
        <x:v>Allowed origin and methods returned</x:v>
      </x:c>
      <x:c r="H10" s="23" t="str">
        <x:v>Manual</x:v>
      </x:c>
      <x:c r="I10" s="23" t="str">
        <x:v>curl.exe OPTIONS /api/v1/system/status</x:v>
      </x:c>
      <x:c r="J10" s="23" t="str">
        <x:v>High</x:v>
      </x:c>
      <x:c r="K10" s="23" t="str">
        <x:v>Passed</x:v>
      </x:c>
      <x:c r="L10" s="23" t="str">
        <x:v>Yes</x:v>
      </x:c>
      <x:c r="M10" s="23" t="str">
        <x:v>Local run 2026-08-25</x:v>
      </x:c>
    </x:row>
    <x:row r="11" ht="36" hidden="0" customHeight="1">
      <x:c r="A11" s="23" t="str">
        <x:v>TC-P00-008</x:v>
      </x:c>
      <x:c r="B11" s="23" t="str">
        <x:v>P00</x:v>
      </x:c>
      <x:c r="C11" s="23" t="str">
        <x:v>PostgreSQL health</x:v>
      </x:c>
      <x:c r="D11" s="23" t="str">
        <x:v>Infrastructure</x:v>
      </x:c>
      <x:c r="E11" s="23" t="str">
        <x:v>Docker engine running</x:v>
      </x:c>
      <x:c r="F11" s="23" t="str">
        <x:v>docker compose ps</x:v>
      </x:c>
      <x:c r="G11" s="23" t="str">
        <x:v>app and db report healthy</x:v>
      </x:c>
      <x:c r="H11" s="23" t="str">
        <x:v>Manual</x:v>
      </x:c>
      <x:c r="I11" s="23" t="str">
        <x:v>docker compose ps</x:v>
      </x:c>
      <x:c r="J11" s="23" t="str">
        <x:v>Critical</x:v>
      </x:c>
      <x:c r="K11" s="23" t="str">
        <x:v>Passed</x:v>
      </x:c>
      <x:c r="L11" s="23" t="str">
        <x:v>Yes</x:v>
      </x:c>
      <x:c r="M11" s="23" t="str">
        <x:v>Local run 2026-08-25</x:v>
      </x:c>
    </x:row>
    <x:row r="12" ht="48" hidden="0" customHeight="1">
      <x:c r="A12" s="23" t="str">
        <x:v>TC-P00-009</x:v>
      </x:c>
      <x:c r="B12" s="23" t="str">
        <x:v>P00</x:v>
      </x:c>
      <x:c r="C12" s="23" t="str">
        <x:v>Migration applied</x:v>
      </x:c>
      <x:c r="D12" s="23" t="str">
        <x:v>Database</x:v>
      </x:c>
      <x:c r="E12" s="23" t="str">
        <x:v>Database initialized</x:v>
      </x:c>
      <x:c r="F12" s="23" t="str">
        <x:v>Query alembic_version</x:v>
      </x:c>
      <x:c r="G12" s="23" t="str">
        <x:v>Revision equals 20260819_0001</x:v>
      </x:c>
      <x:c r="H12" s="23" t="str">
        <x:v>Automated</x:v>
      </x:c>
      <x:c r="I12" s="23" t="str">
        <x:v>alembic upgrade head</x:v>
      </x:c>
      <x:c r="J12" s="23" t="str">
        <x:v>Critical</x:v>
      </x:c>
      <x:c r="K12" s="23" t="str">
        <x:v>Passed</x:v>
      </x:c>
      <x:c r="L12" s="23" t="str">
        <x:v>Yes</x:v>
      </x:c>
      <x:c r="M12" s="23" t="str">
        <x:v>Local run 2026-08-25</x:v>
      </x:c>
    </x:row>
    <x:row r="13" ht="72" hidden="0" customHeight="1">
      <x:c r="A13" s="23" t="str">
        <x:v>TC-P00-010</x:v>
      </x:c>
      <x:c r="B13" s="23" t="str">
        <x:v>P00</x:v>
      </x:c>
      <x:c r="C13" s="23" t="str">
        <x:v>Migration rollback/replay</x:v>
      </x:c>
      <x:c r="D13" s="23" t="str">
        <x:v>Database</x:v>
      </x:c>
      <x:c r="E13" s="23" t="str">
        <x:v>Foundation-only dev data</x:v>
      </x:c>
      <x:c r="F13" s="23" t="str">
        <x:v>downgrade base then upgrade head</x:v>
      </x:c>
      <x:c r="G13" s="23" t="str">
        <x:v>Both operations succeed transactionally</x:v>
      </x:c>
      <x:c r="H13" s="23" t="str">
        <x:v>Automated</x:v>
      </x:c>
      <x:c r="I13" s="23" t="str">
        <x:v>alembic downgrade base; alembic upgrade head</x:v>
      </x:c>
      <x:c r="J13" s="23" t="str">
        <x:v>Critical</x:v>
      </x:c>
      <x:c r="K13" s="23" t="str">
        <x:v>Passed</x:v>
      </x:c>
      <x:c r="L13" s="23" t="str">
        <x:v>Yes</x:v>
      </x:c>
      <x:c r="M13" s="23" t="str">
        <x:v>Local run 2026-08-25</x:v>
      </x:c>
    </x:row>
    <x:row r="14" ht="60" hidden="0" customHeight="1">
      <x:c r="A14" s="23" t="str">
        <x:v>TC-P00-011</x:v>
      </x:c>
      <x:c r="B14" s="23" t="str">
        <x:v>P00</x:v>
      </x:c>
      <x:c r="C14" s="23" t="str">
        <x:v>Deterministic seed</x:v>
      </x:c>
      <x:c r="D14" s="23" t="str">
        <x:v>Database</x:v>
      </x:c>
      <x:c r="E14" s="23" t="str">
        <x:v>Migration applied</x:v>
      </x:c>
      <x:c r="F14" s="23" t="str">
        <x:v>Run seed twice</x:v>
      </x:c>
      <x:c r="G14" s="23" t="str">
        <x:v>Exactly four settings with expected values</x:v>
      </x:c>
      <x:c r="H14" s="23" t="str">
        <x:v>Automated</x:v>
      </x:c>
      <x:c r="I14" s="23" t="str">
        <x:v>pytest tests/test_seed.py</x:v>
      </x:c>
      <x:c r="J14" s="23" t="str">
        <x:v>Critical</x:v>
      </x:c>
      <x:c r="K14" s="23" t="str">
        <x:v>Passed</x:v>
      </x:c>
      <x:c r="L14" s="23" t="str">
        <x:v>Yes</x:v>
      </x:c>
      <x:c r="M14" s="23" t="str">
        <x:v>Local run 2026-08-25</x:v>
      </x:c>
    </x:row>
    <x:row r="15" ht="48" hidden="0" customHeight="1">
      <x:c r="A15" s="23" t="str">
        <x:v>TC-P00-012</x:v>
      </x:c>
      <x:c r="B15" s="23" t="str">
        <x:v>P00</x:v>
      </x:c>
      <x:c r="C15" s="23" t="str">
        <x:v>Database timezone</x:v>
      </x:c>
      <x:c r="D15" s="23" t="str">
        <x:v>Database</x:v>
      </x:c>
      <x:c r="E15" s="23" t="str">
        <x:v>Database connected</x:v>
      </x:c>
      <x:c r="F15" s="23" t="str">
        <x:v>SHOW TIME ZONE</x:v>
      </x:c>
      <x:c r="G15" s="23" t="str">
        <x:v>Asia/Manila</x:v>
      </x:c>
      <x:c r="H15" s="23" t="str">
        <x:v>Automated</x:v>
      </x:c>
      <x:c r="I15" s="23" t="str">
        <x:v>system status test plus SQL query</x:v>
      </x:c>
      <x:c r="J15" s="23" t="str">
        <x:v>High</x:v>
      </x:c>
      <x:c r="K15" s="23" t="str">
        <x:v>Passed</x:v>
      </x:c>
      <x:c r="L15" s="23" t="str">
        <x:v>Yes</x:v>
      </x:c>
      <x:c r="M15" s="23" t="str">
        <x:v>Local run 2026-08-25</x:v>
      </x:c>
    </x:row>
    <x:row r="16" ht="48" hidden="0" customHeight="1">
      <x:c r="A16" s="23" t="str">
        <x:v>TC-P00-013</x:v>
      </x:c>
      <x:c r="B16" s="23" t="str">
        <x:v>P00</x:v>
      </x:c>
      <x:c r="C16" s="23" t="str">
        <x:v>Backend lint</x:v>
      </x:c>
      <x:c r="D16" s="23" t="str">
        <x:v>Static</x:v>
      </x:c>
      <x:c r="E16" s="23" t="str">
        <x:v>Dev dependencies installed</x:v>
      </x:c>
      <x:c r="F16" s="23" t="str">
        <x:v>Run Ruff</x:v>
      </x:c>
      <x:c r="G16" s="23" t="str">
        <x:v>No lint violations</x:v>
      </x:c>
      <x:c r="H16" s="23" t="str">
        <x:v>Automated</x:v>
      </x:c>
      <x:c r="I16" s="23" t="str">
        <x:v>ruff check api migrations tests</x:v>
      </x:c>
      <x:c r="J16" s="23" t="str">
        <x:v>High</x:v>
      </x:c>
      <x:c r="K16" s="23" t="str">
        <x:v>Passed</x:v>
      </x:c>
      <x:c r="L16" s="23" t="str">
        <x:v>Yes</x:v>
      </x:c>
      <x:c r="M16" s="23" t="str">
        <x:v>Local run 2026-08-25</x:v>
      </x:c>
    </x:row>
    <x:row r="17" ht="48" hidden="0" customHeight="1">
      <x:c r="A17" s="23" t="str">
        <x:v>TC-P00-014</x:v>
      </x:c>
      <x:c r="B17" s="23" t="str">
        <x:v>P00</x:v>
      </x:c>
      <x:c r="C17" s="23" t="str">
        <x:v>Backend suite</x:v>
      </x:c>
      <x:c r="D17" s="23" t="str">
        <x:v>Automated</x:v>
      </x:c>
      <x:c r="E17" s="23" t="str">
        <x:v>PostgreSQL available</x:v>
      </x:c>
      <x:c r="F17" s="23" t="str">
        <x:v>Run pytest with coverage</x:v>
      </x:c>
      <x:c r="G17" s="23" t="str">
        <x:v>6 tests pass; coverage reported</x:v>
      </x:c>
      <x:c r="H17" s="23" t="str">
        <x:v>Automated</x:v>
      </x:c>
      <x:c r="I17" s="23" t="str">
        <x:v>pytest --cov=payment_module</x:v>
      </x:c>
      <x:c r="J17" s="23" t="str">
        <x:v>Critical</x:v>
      </x:c>
      <x:c r="K17" s="23" t="str">
        <x:v>Passed</x:v>
      </x:c>
      <x:c r="L17" s="23" t="str">
        <x:v>Yes</x:v>
      </x:c>
      <x:c r="M17" s="23" t="str">
        <x:v>6 passed; 89% coverage</x:v>
      </x:c>
    </x:row>
    <x:row r="18" ht="48" hidden="0" customHeight="1">
      <x:c r="A18" s="23" t="str">
        <x:v>TC-P00-015</x:v>
      </x:c>
      <x:c r="B18" s="23" t="str">
        <x:v>P00</x:v>
      </x:c>
      <x:c r="C18" s="23" t="str">
        <x:v>Frontend production build</x:v>
      </x:c>
      <x:c r="D18" s="23" t="str">
        <x:v>Build</x:v>
      </x:c>
      <x:c r="E18" s="23" t="str">
        <x:v>Node dependencies installed</x:v>
      </x:c>
      <x:c r="F18" s="23" t="str">
        <x:v>Run pnpm build</x:v>
      </x:c>
      <x:c r="G18" s="23" t="str">
        <x:v>TypeScript and Vite build succeed</x:v>
      </x:c>
      <x:c r="H18" s="23" t="str">
        <x:v>Automated</x:v>
      </x:c>
      <x:c r="I18" s="23" t="str">
        <x:v>pnpm build</x:v>
      </x:c>
      <x:c r="J18" s="23" t="str">
        <x:v>Critical</x:v>
      </x:c>
      <x:c r="K18" s="23" t="str">
        <x:v>Passed</x:v>
      </x:c>
      <x:c r="L18" s="23" t="str">
        <x:v>Yes</x:v>
      </x:c>
      <x:c r="M18" s="23" t="str">
        <x:v>Vite 7.0.7 build passed</x:v>
      </x:c>
    </x:row>
    <x:row r="19" ht="60" hidden="0" customHeight="1">
      <x:c r="A19" s="23" t="str">
        <x:v>TC-P00-016</x:v>
      </x:c>
      <x:c r="B19" s="23" t="str">
        <x:v>P00</x:v>
      </x:c>
      <x:c r="C19" s="23" t="str">
        <x:v>Hybrid API indicator</x:v>
      </x:c>
      <x:c r="D19" s="23" t="str">
        <x:v>UI</x:v>
      </x:c>
      <x:c r="E19" s="23" t="str">
        <x:v>Frontend and API running</x:v>
      </x:c>
      <x:c r="F19" s="23" t="str">
        <x:v>Open dashboard</x:v>
      </x:c>
      <x:c r="G19" s="23" t="str">
        <x:v>Dashboard renders and shows API connected</x:v>
      </x:c>
      <x:c r="H19" s="23" t="str">
        <x:v>Manual</x:v>
      </x:c>
      <x:c r="I19" s="23" t="str">
        <x:v>http://127.0.0.1:5175/#/dashboard</x:v>
      </x:c>
      <x:c r="J19" s="23" t="str">
        <x:v>Critical</x:v>
      </x:c>
      <x:c r="K19" s="23" t="str">
        <x:v>Passed</x:v>
      </x:c>
      <x:c r="L19" s="23" t="str">
        <x:v>Yes</x:v>
      </x:c>
      <x:c r="M19" s="23" t="str">
        <x:v>Browser verified; no console errors</x:v>
      </x:c>
    </x:row>
    <x:row r="20" ht="84" hidden="0" customHeight="1">
      <x:c r="A20" s="23" t="str">
        <x:v>TC-P00-017</x:v>
      </x:c>
      <x:c r="B20" s="23" t="str">
        <x:v>P00</x:v>
      </x:c>
      <x:c r="C20" s="23" t="str">
        <x:v>Mock fallback</x:v>
      </x:c>
      <x:c r="D20" s="23" t="str">
        <x:v>Resilience</x:v>
      </x:c>
      <x:c r="E20" s="23" t="str">
        <x:v>Frontend running</x:v>
      </x:c>
      <x:c r="F20" s="23" t="str">
        <x:v>Stop API and reload hybrid frontend</x:v>
      </x:c>
      <x:c r="G20" s="23" t="str">
        <x:v>Prototype remains usable with API unavailable indicator</x:v>
      </x:c>
      <x:c r="H20" s="23" t="str">
        <x:v>Manual</x:v>
      </x:c>
      <x:c r="I20" s="23" t="str">
        <x:v>docker compose stop app; reload</x:v>
      </x:c>
      <x:c r="J20" s="23" t="str">
        <x:v>High</x:v>
      </x:c>
      <x:c r="K20" s="23" t="str">
        <x:v>Passed</x:v>
      </x:c>
      <x:c r="L20" s="23" t="str">
        <x:v>Yes</x:v>
      </x:c>
      <x:c r="M20" s="23" t="str">
        <x:v>Dashboard remained usable and showed Hybrid · mock fallback</x:v>
      </x:c>
    </x:row>
    <x:row r="21" ht="48" hidden="0" customHeight="1">
      <x:c r="A21" s="23" t="str">
        <x:v>TC-P00-018</x:v>
      </x:c>
      <x:c r="B21" s="23" t="str">
        <x:v>P00</x:v>
      </x:c>
      <x:c r="C21" s="23" t="str">
        <x:v>Docker image build</x:v>
      </x:c>
      <x:c r="D21" s="23" t="str">
        <x:v>Delivery</x:v>
      </x:c>
      <x:c r="E21" s="23" t="str">
        <x:v>Docker engine running</x:v>
      </x:c>
      <x:c r="F21" s="23" t="str">
        <x:v>Build API image</x:v>
      </x:c>
      <x:c r="G21" s="23" t="str">
        <x:v>payment-module-app image produced</x:v>
      </x:c>
      <x:c r="H21" s="23" t="str">
        <x:v>Automated</x:v>
      </x:c>
      <x:c r="I21" s="23" t="str">
        <x:v>docker compose build</x:v>
      </x:c>
      <x:c r="J21" s="23" t="str">
        <x:v>Critical</x:v>
      </x:c>
      <x:c r="K21" s="23" t="str">
        <x:v>Passed</x:v>
      </x:c>
      <x:c r="L21" s="23" t="str">
        <x:v>Yes</x:v>
      </x:c>
      <x:c r="M21" s="23" t="str">
        <x:v>Local and CI packaging passed</x:v>
      </x:c>
    </x:row>
    <x:row r="22" ht="48" hidden="0" customHeight="1">
      <x:c r="A22" s="23" t="str">
        <x:v>TC-P00-019</x:v>
      </x:c>
      <x:c r="B22" s="23" t="str">
        <x:v>P00</x:v>
      </x:c>
      <x:c r="C22" s="23" t="str">
        <x:v>OpenAPI availability</x:v>
      </x:c>
      <x:c r="D22" s="23" t="str">
        <x:v>API</x:v>
      </x:c>
      <x:c r="E22" s="23" t="str">
        <x:v>API running</x:v>
      </x:c>
      <x:c r="F22" s="23" t="str">
        <x:v>GET /docs and /openapi.json</x:v>
      </x:c>
      <x:c r="G22" s="23" t="str">
        <x:v>Swagger UI and schema available</x:v>
      </x:c>
      <x:c r="H22" s="23" t="str">
        <x:v>Manual</x:v>
      </x:c>
      <x:c r="I22" s="23" t="str">
        <x:v>http://127.0.0.1:8002/docs</x:v>
      </x:c>
      <x:c r="J22" s="23" t="str">
        <x:v>Medium</x:v>
      </x:c>
      <x:c r="K22" s="23" t="str">
        <x:v>Passed</x:v>
      </x:c>
      <x:c r="L22" s="23" t="str">
        <x:v>No</x:v>
      </x:c>
      <x:c r="M22" s="23" t="str">
        <x:v>API docs route published</x:v>
      </x:c>
    </x:row>
    <x:row r="23" ht="96" hidden="0" customHeight="1">
      <x:c r="A23" s="24" t="str">
        <x:v>TC-P00-020</x:v>
      </x:c>
      <x:c r="B23" s="24" t="str">
        <x:v>P00</x:v>
      </x:c>
      <x:c r="C23" s="24" t="str">
        <x:v>Structured request logging</x:v>
      </x:c>
      <x:c r="D23" s="24" t="str">
        <x:v>Operations</x:v>
      </x:c>
      <x:c r="E23" s="24" t="str">
        <x:v>API running</x:v>
      </x:c>
      <x:c r="F23" s="24" t="str">
        <x:v>Send request and inspect container log</x:v>
      </x:c>
      <x:c r="G23" s="24" t="str">
        <x:v>Method, path, status, duration and request ID recorded</x:v>
      </x:c>
      <x:c r="H23" s="24" t="str">
        <x:v>Manual</x:v>
      </x:c>
      <x:c r="I23" s="24" t="str">
        <x:v>docker compose logs app</x:v>
      </x:c>
      <x:c r="J23" s="24" t="str">
        <x:v>High</x:v>
      </x:c>
      <x:c r="K23" s="24" t="str">
        <x:v>Passed</x:v>
      </x:c>
      <x:c r="L23" s="24" t="str">
        <x:v>Yes</x:v>
      </x:c>
      <x:c r="M23" s="24" t="str">
        <x:v>Log contained method, path, status, duration_ms and request_id</x:v>
      </x:c>
    </x:row>
    <x:row r="24">
      <x:c r="A24" t="str">
        <x:v>TC-P00-021</x:v>
      </x:c>
      <x:c r="B24" t="str">
        <x:v>P00</x:v>
      </x:c>
      <x:c r="C24" t="str">
        <x:v>Current Docker migration and seed replay</x:v>
      </x:c>
      <x:c r="D24" t="str">
        <x:v>Integration</x:v>
      </x:c>
      <x:c r="E24" t="str">
        <x:v>Isolated Docker PostgreSQL 16 databases</x:v>
      </x:c>
      <x:c r="F24" t="str">
        <x:v>Upgrade base to head, downgrade to base, upgrade to head, then seed twice</x:v>
      </x:c>
      <x:c r="G24" t="str">
        <x:v>Migration chain and deterministic seed complete without drift</x:v>
      </x:c>
      <x:c r="H24" t="str">
        <x:v>Manual</x:v>
      </x:c>
      <x:c r="I24" t="str">
        <x:v>alembic upgrade/downgrade; python -m payment_module.seed</x:v>
      </x:c>
      <x:c r="J24" t="str">
        <x:v>Critical</x:v>
      </x:c>
      <x:c r="K24" t="str">
        <x:v>Passed</x:v>
      </x:c>
      <x:c r="L24" t="str">
        <x:v>Yes</x:v>
      </x:c>
      <x:c r="M24" t="str">
        <x:v>Docker Desktop 4.92.0 / Engine 29.8.0; current head 20260922_0007</x:v>
      </x:c>
    </x:row>
    <x:row r="25">
      <x:c r="A25" t="str">
        <x:v>TC-P00-022</x:v>
      </x:c>
      <x:c r="B25" t="str">
        <x:v>P00</x:v>
      </x:c>
      <x:c r="C25" t="str">
        <x:v>PostgreSQL logical backup and restore</x:v>
      </x:c>
      <x:c r="D25" t="str">
        <x:v>Recovery</x:v>
      </x:c>
      <x:c r="E25" t="str">
        <x:v>Migrated and seeded disposable Docker database</x:v>
      </x:c>
      <x:c r="F25" t="str">
        <x:v>Create custom-format dump, restore to a new database, compare schema and sampled counts</x:v>
      </x:c>
      <x:c r="G25" t="str">
        <x:v>Revision, table count and sampled data counts match</x:v>
      </x:c>
      <x:c r="H25" t="str">
        <x:v>Manual</x:v>
      </x:c>
      <x:c r="I25" t="str">
        <x:v>pg_dump -Fc; pg_restore</x:v>
      </x:c>
      <x:c r="J25" t="str">
        <x:v>Critical</x:v>
      </x:c>
      <x:c r="K25" t="str">
        <x:v>Passed</x:v>
      </x:c>
      <x:c r="L25" t="str">
        <x:v>Yes</x:v>
      </x:c>
      <x:c r="M25" t="str">
        <x:v>Exact match: 23 tables, revision 20260922_0007, users/departments/cost centers/currencies/payment requests</x:v>
      </x:c>
    </x:row>
    <x:row r="26">
      <x:c r="A26" t="str">
        <x:v>TC-P01-001</x:v>
      </x:c>
      <x:c r="B26" t="str">
        <x:v>P01</x:v>
      </x:c>
      <x:c r="C26" t="str">
        <x:v>Live session restart continuity</x:v>
      </x:c>
      <x:c r="D26" t="str">
        <x:v>Integration</x:v>
      </x:c>
      <x:c r="E26" t="str">
        <x:v>Current app image and seeded Docker database</x:v>
      </x:c>
      <x:c r="F26" t="str">
        <x:v>Login, read session, restart app container, read session, logout</x:v>
      </x:c>
      <x:c r="G26" t="str">
        <x:v>Session survives app restart and is rejected after logout</x:v>
      </x:c>
      <x:c r="H26" t="str">
        <x:v>Manual</x:v>
      </x:c>
      <x:c r="I26" t="str">
        <x:v>Live API on isolated loopback port</x:v>
      </x:c>
      <x:c r="J26" t="str">
        <x:v>Critical</x:v>
      </x:c>
      <x:c r="K26" t="str">
        <x:v>Passed</x:v>
      </x:c>
      <x:c r="L26" t="str">
        <x:v>Yes</x:v>
      </x:c>
      <x:c r="M26" t="str">
        <x:v>Authenticated admin session survived restart; logout returned 204 and next session read returned 401</x:v>
      </x:c>
    </x:row>
    <x:row r="27">
      <x:c r="A27" t="str">
        <x:v>TC-P02-001</x:v>
      </x:c>
      <x:c r="B27" t="str">
        <x:v>P02</x:v>
      </x:c>
      <x:c r="C27" t="str">
        <x:v>Historical bank-table removal guard</x:v>
      </x:c>
      <x:c r="D27" t="str">
        <x:v>Migration</x:v>
      </x:c>
      <x:c r="E27" t="str">
        <x:v>Disposable database at 20260908_0006 with one synthetic historical row</x:v>
      </x:c>
      <x:c r="F27" t="str">
        <x:v>Upgrade to head, verify refusal, remove fixture, upgrade again</x:v>
      </x:c>
      <x:c r="G27" t="str">
        <x:v>Populated table is preserved; empty table is removed by 20260922_0007</x:v>
      </x:c>
      <x:c r="H27" t="str">
        <x:v>Manual</x:v>
      </x:c>
      <x:c r="I27" t="str">
        <x:v>alembic upgrade head against phase02_guard_test</x:v>
      </x:c>
      <x:c r="J27" t="str">
        <x:v>Critical</x:v>
      </x:c>
      <x:c r="K27" t="str">
        <x:v>Passed</x:v>
      </x:c>
      <x:c r="L27" t="str">
        <x:v>Yes</x:v>
      </x:c>
      <x:c r="M27" t="str">
        <x:v>Guard preserved revision and row; clean retry removed table; no bank routes remain</x:v>
      </x:c>
    </x:row>
    <x:row r="28">
      <x:c r="A28" t="str">
        <x:v>TC-P03-001</x:v>
      </x:c>
      <x:c r="B28" t="str">
        <x:v>P03</x:v>
      </x:c>
      <x:c r="C28" t="str">
        <x:v>Request draft CRUD</x:v>
      </x:c>
      <x:c r="D28" t="str">
        <x:v>API</x:v>
      </x:c>
      <x:c r="E28" t="str">
        <x:v>Test database migrated and seeded</x:v>
      </x:c>
      <x:c r="F28" t="str">
        <x:v>Create and retrieve an owned request draft</x:v>
      </x:c>
      <x:c r="G28" t="str">
        <x:v>Draft persists with request, line, amount and currency</x:v>
      </x:c>
      <x:c r="H28" t="str">
        <x:v>Automated</x:v>
      </x:c>
      <x:c r="I28" t="str">
        <x:v>pytest tests/test_payment_requests.py</x:v>
      </x:c>
      <x:c r="J28" t="str">
        <x:v>Critical</x:v>
      </x:c>
      <x:c r="K28" t="str">
        <x:v>Passed</x:v>
      </x:c>
      <x:c r="L28" t="str">
        <x:v>Yes</x:v>
      </x:c>
      <x:c r="M28" t="str">
        <x:v>Local isolated PostgreSQL run 2026-09-08</x:v>
      </x:c>
    </x:row>
    <x:row r="29">
      <x:c r="A29" t="str">
        <x:v>TC-P03-002</x:v>
      </x:c>
      <x:c r="B29" t="str">
        <x:v>P03</x:v>
      </x:c>
      <x:c r="C29" t="str">
        <x:v>Single-currency enforcement</x:v>
      </x:c>
      <x:c r="D29" t="str">
        <x:v>Negative</x:v>
      </x:c>
      <x:c r="E29" t="str">
        <x:v>PHP request with USD line</x:v>
      </x:c>
      <x:c r="F29" t="str">
        <x:v>POST /api/v1/requests</x:v>
      </x:c>
      <x:c r="G29" t="str">
        <x:v>HTTP 422; mixed currency is rejected</x:v>
      </x:c>
      <x:c r="H29" t="str">
        <x:v>Automated</x:v>
      </x:c>
      <x:c r="I29" t="str">
        <x:v>pytest tests/test_payment_requests.py::test_mixed_currency_rejected_and_visibility_enforced</x:v>
      </x:c>
      <x:c r="J29" t="str">
        <x:v>Critical</x:v>
      </x:c>
      <x:c r="K29" t="str">
        <x:v>Passed</x:v>
      </x:c>
      <x:c r="L29" t="str">
        <x:v>Yes</x:v>
      </x:c>
      <x:c r="M29" t="str">
        <x:v>Amount and ISO currency pairs validated server-side</x:v>
      </x:c>
    </x:row>
    <x:row r="30">
      <x:c r="A30" t="str">
        <x:v>TC-P03-003</x:v>
      </x:c>
      <x:c r="B30" t="str">
        <x:v>P03</x:v>
      </x:c>
      <x:c r="C30" t="str">
        <x:v>Optimistic locking</x:v>
      </x:c>
      <x:c r="D30" t="str">
        <x:v>Concurrency</x:v>
      </x:c>
      <x:c r="E30" t="str">
        <x:v>Existing draft at version 1</x:v>
      </x:c>
      <x:c r="F30" t="str">
        <x:v>Update twice with the same version</x:v>
      </x:c>
      <x:c r="G30" t="str">
        <x:v>First update succeeds; stale update returns HTTP 409</x:v>
      </x:c>
      <x:c r="H30" t="str">
        <x:v>Automated</x:v>
      </x:c>
      <x:c r="I30" t="str">
        <x:v>pytest tests/test_payment_requests.py::test_request_crud_optimistic_lock_and_idempotent_submit</x:v>
      </x:c>
      <x:c r="J30" t="str">
        <x:v>Critical</x:v>
      </x:c>
      <x:c r="K30" t="str">
        <x:v>Passed</x:v>
      </x:c>
      <x:c r="L30" t="str">
        <x:v>Yes</x:v>
      </x:c>
      <x:c r="M30" t="str">
        <x:v>Local isolated PostgreSQL run 2026-09-08</x:v>
      </x:c>
    </x:row>
    <x:row r="31">
      <x:c r="A31" t="str">
        <x:v>TC-P03-004</x:v>
      </x:c>
      <x:c r="B31" t="str">
        <x:v>P03</x:v>
      </x:c>
      <x:c r="C31" t="str">
        <x:v>Idempotent submission and numbering</x:v>
      </x:c>
      <x:c r="D31" t="str">
        <x:v>Integration</x:v>
      </x:c>
      <x:c r="E31" t="str">
        <x:v>Valid persisted draft</x:v>
      </x:c>
      <x:c r="F31" t="str">
        <x:v>Submit twice with one idempotency key</x:v>
      </x:c>
      <x:c r="G31" t="str">
        <x:v>One PR-2026-six-digit number is returned both times</x:v>
      </x:c>
      <x:c r="H31" t="str">
        <x:v>Automated</x:v>
      </x:c>
      <x:c r="I31" t="str">
        <x:v>pytest tests/test_payment_requests.py::test_request_crud_optimistic_lock_and_idempotent_submit</x:v>
      </x:c>
      <x:c r="J31" t="str">
        <x:v>Critical</x:v>
      </x:c>
      <x:c r="K31" t="str">
        <x:v>Passed</x:v>
      </x:c>
      <x:c r="L31" t="str">
        <x:v>Yes</x:v>
      </x:c>
      <x:c r="M31" t="str">
        <x:v>Calendar-year sequence stored transactionally</x:v>
      </x:c>
    </x:row>
    <x:row r="32">
      <x:c r="A32" t="str">
        <x:v>TC-P03-005</x:v>
      </x:c>
      <x:c r="B32" t="str">
        <x:v>P03</x:v>
      </x:c>
      <x:c r="C32" t="str">
        <x:v>Request visibility</x:v>
      </x:c>
      <x:c r="D32" t="str">
        <x:v>Security</x:v>
      </x:c>
      <x:c r="E32" t="str">
        <x:v>Requests owned by users in different departments</x:v>
      </x:c>
      <x:c r="F32" t="str">
        <x:v>Read another user's request without scope</x:v>
      </x:c>
      <x:c r="G32" t="str">
        <x:v>HTTP 404 prevents unauthorized disclosure</x:v>
      </x:c>
      <x:c r="H32" t="str">
        <x:v>Automated</x:v>
      </x:c>
      <x:c r="I32" t="str">
        <x:v>pytest tests/test_payment_requests.py::test_mixed_currency_rejected_and_visibility_enforced</x:v>
      </x:c>
      <x:c r="J32" t="str">
        <x:v>Critical</x:v>
      </x:c>
      <x:c r="K32" t="str">
        <x:v>Passed</x:v>
      </x:c>
      <x:c r="L32" t="str">
        <x:v>Yes</x:v>
      </x:c>
      <x:c r="M32" t="str">
        <x:v>Owner/department/all scopes implemented</x:v>
      </x:c>
    </x:row>
    <x:row r="33">
      <x:c r="A33" t="str">
        <x:v>TC-P03-006</x:v>
      </x:c>
      <x:c r="B33" t="str">
        <x:v>P03</x:v>
      </x:c>
      <x:c r="C33" t="str">
        <x:v>Return for information</x:v>
      </x:c>
      <x:c r="D33" t="str">
        <x:v>Workflow</x:v>
      </x:c>
      <x:c r="E33" t="str">
        <x:v>Submitted Marketing request</x:v>
      </x:c>
      <x:c r="F33" t="str">
        <x:v>Department Head returns with a note</x:v>
      </x:c>
      <x:c r="G33" t="str">
        <x:v>Status becomes returned and immutable history is recorded</x:v>
      </x:c>
      <x:c r="H33" t="str">
        <x:v>Automated</x:v>
      </x:c>
      <x:c r="I33" t="str">
        <x:v>pytest tests/test_payment_requests.py::test_department_head_can_return_submitted_department_request</x:v>
      </x:c>
      <x:c r="J33" t="str">
        <x:v>Critical</x:v>
      </x:c>
      <x:c r="K33" t="str">
        <x:v>Passed</x:v>
      </x:c>
      <x:c r="L33" t="str">
        <x:v>Yes</x:v>
      </x:c>
      <x:c r="M33" t="str">
        <x:v>Local isolated PostgreSQL run 2026-09-08</x:v>
      </x:c>
    </x:row>
    <x:row r="34">
      <x:c r="A34" t="str">
        <x:v>TC-P03-007</x:v>
      </x:c>
      <x:c r="B34" t="str">
        <x:v>P03</x:v>
      </x:c>
      <x:c r="C34" t="str">
        <x:v>Backend regression suite</x:v>
      </x:c>
      <x:c r="D34" t="str">
        <x:v>Automated</x:v>
      </x:c>
      <x:c r="E34" t="str">
        <x:v>Test database at Alembic head</x:v>
      </x:c>
      <x:c r="F34" t="str">
        <x:v>Run full pytest suite</x:v>
      </x:c>
      <x:c r="G34" t="str">
        <x:v>All backend tests pass</x:v>
      </x:c>
      <x:c r="H34" t="str">
        <x:v>Automated</x:v>
      </x:c>
      <x:c r="I34" t="str">
        <x:v>pytest -q</x:v>
      </x:c>
      <x:c r="J34" t="str">
        <x:v>Critical</x:v>
      </x:c>
      <x:c r="K34" t="str">
        <x:v>Passed</x:v>
      </x:c>
      <x:c r="L34" t="str">
        <x:v>Yes</x:v>
      </x:c>
      <x:c r="M34" t="str">
        <x:v>58 passed, 1 warning on 2026-09-22 against the dedicated test database</x:v>
      </x:c>
    </x:row>
    <x:row r="35">
      <x:c r="A35" t="str">
        <x:v>TC-P03-008</x:v>
      </x:c>
      <x:c r="B35" t="str">
        <x:v>P03</x:v>
      </x:c>
      <x:c r="C35" t="str">
        <x:v>Frontend production build</x:v>
      </x:c>
      <x:c r="D35" t="str">
        <x:v>Build</x:v>
      </x:c>
      <x:c r="E35" t="str">
        <x:v>Node dependencies installed</x:v>
      </x:c>
      <x:c r="F35" t="str">
        <x:v>Run pnpm build</x:v>
      </x:c>
      <x:c r="G35" t="str">
        <x:v>TypeScript and Vite production bundle succeed</x:v>
      </x:c>
      <x:c r="H35" t="str">
        <x:v>Automated</x:v>
      </x:c>
      <x:c r="I35" t="str">
        <x:v>pnpm run build</x:v>
      </x:c>
      <x:c r="J35" t="str">
        <x:v>Critical</x:v>
      </x:c>
      <x:c r="K35" t="str">
        <x:v>Passed</x:v>
      </x:c>
      <x:c r="L35" t="str">
        <x:v>Yes</x:v>
      </x:c>
      <x:c r="M35" t="str">
        <x:v>TypeScript and Vite 7.3.6 production build passed after mock draft fix on 2026-09-22</x:v>
      </x:c>
    </x:row>
    <x:row r="36">
      <x:c r="A36" t="str">
        <x:v>TC-P03-009</x:v>
      </x:c>
      <x:c r="B36" t="str">
        <x:v>P03</x:v>
      </x:c>
      <x:c r="C36" t="str">
        <x:v>General Payment business rules</x:v>
      </x:c>
      <x:c r="D36" t="str">
        <x:v>Business validation</x:v>
      </x:c>
      <x:c r="E36" t="str">
        <x:v>Finance-approved final rules available</x:v>
      </x:c>
      <x:c r="F36" t="str">
        <x:v>Validate General Payment fields and documents</x:v>
      </x:c>
      <x:c r="G36" t="str">
        <x:v>Current General Payment UI retained; final detailed rules approved</x:v>
      </x:c>
      <x:c r="H36" t="str">
        <x:v>Manual</x:v>
      </x:c>
      <x:c r="I36" t="str">
        <x:v>Pending Finance confirmation</x:v>
      </x:c>
      <x:c r="J36" t="str">
        <x:v>High</x:v>
      </x:c>
      <x:c r="K36" t="str">
        <x:v>Not Run</x:v>
      </x:c>
      <x:c r="L36" t="str">
        <x:v>Yes</x:v>
      </x:c>
      <x:c r="M36" t="str">
        <x:v>Pending due ambiguous P.O. wording in source sheet</x:v>
      </x:c>
    </x:row>
    <x:row r="37">
      <x:c r="A37" t="str">
        <x:v>TC-P03-010</x:v>
      </x:c>
      <x:c r="B37" t="str">
        <x:v>P03</x:v>
      </x:c>
      <x:c r="C37" t="str">
        <x:v>Line-total reconciliation</x:v>
      </x:c>
      <x:c r="D37" t="str">
        <x:v>Financial validation</x:v>
      </x:c>
      <x:c r="E37" t="str">
        <x:v>Two item lines each have one cost center and use the request currency</x:v>
      </x:c>
      <x:c r="F37" t="str">
        <x:v>Create item lines with 10.0050 and 0.0050 amounts</x:v>
      </x:c>
      <x:c r="G37" t="str">
        <x:v>Stored line total exactly equals the stored 10.0100 request gross amount</x:v>
      </x:c>
      <x:c r="H37" t="str">
        <x:v>Automated</x:v>
      </x:c>
      <x:c r="I37" t="str">
        <x:v>pytest tests/test_payment_requests.py::test_line_totals_reconcile_with_exact_four_decimal_precision</x:v>
      </x:c>
      <x:c r="J37" t="str">
        <x:v>Critical</x:v>
      </x:c>
      <x:c r="K37" t="str">
        <x:v>Passed</x:v>
      </x:c>
      <x:c r="L37" t="str">
        <x:v>Yes</x:v>
      </x:c>
      <x:c r="M37" t="str">
        <x:v>One item and one cost center per line; exact Decimal reconciliation verified 2026-09-20</x:v>
      </x:c>
    </x:row>
    <x:row r="38">
      <x:c r="A38" t="str">
        <x:v>TC-P03-011</x:v>
      </x:c>
      <x:c r="B38" t="str">
        <x:v>P03</x:v>
      </x:c>
      <x:c r="C38" t="str">
        <x:v>Amount precision boundary</x:v>
      </x:c>
      <x:c r="D38" t="str">
        <x:v>Negative</x:v>
      </x:c>
      <x:c r="E38" t="str">
        <x:v>Request payload uses more than four decimal places</x:v>
      </x:c>
      <x:c r="F38" t="str">
        <x:v>Create a request with amount 1.00001</x:v>
      </x:c>
      <x:c r="G38" t="str">
        <x:v>HTTP 422 rejects unsupported precision</x:v>
      </x:c>
      <x:c r="H38" t="str">
        <x:v>Automated</x:v>
      </x:c>
      <x:c r="I38" t="str">
        <x:v>pytest tests/test_payment_requests.py::test_amounts_beyond_supported_precision_are_rejected</x:v>
      </x:c>
      <x:c r="J38" t="str">
        <x:v>High</x:v>
      </x:c>
      <x:c r="K38" t="str">
        <x:v>Passed</x:v>
      </x:c>
      <x:c r="L38" t="str">
        <x:v>Yes</x:v>
      </x:c>
      <x:c r="M38" t="str">
        <x:v>Pydantic and Numeric(19,4) boundary verified 2026-09-20</x:v>
      </x:c>
    </x:row>
    <x:row r="39">
      <x:c r="A39" t="str">
        <x:v>TC-P03-012</x:v>
      </x:c>
      <x:c r="B39" t="str">
        <x:v>P03</x:v>
      </x:c>
      <x:c r="C39" t="str">
        <x:v>Simultaneous draft edits</x:v>
      </x:c>
      <x:c r="D39" t="str">
        <x:v>Concurrency</x:v>
      </x:c>
      <x:c r="E39" t="str">
        <x:v>One draft and two authenticated sessions share the same version</x:v>
      </x:c>
      <x:c r="F39" t="str">
        <x:v>Release both PATCH requests through one thread barrier</x:v>
      </x:c>
      <x:c r="G39" t="str">
        <x:v>Exactly one update commits and the stale update returns HTTP 409</x:v>
      </x:c>
      <x:c r="H39" t="str">
        <x:v>Automated</x:v>
      </x:c>
      <x:c r="I39" t="str">
        <x:v>pytest tests/test_payment_requests.py::test_simultaneous_edits_allow_exactly_one_version_to_commit</x:v>
      </x:c>
      <x:c r="J39" t="str">
        <x:v>Critical</x:v>
      </x:c>
      <x:c r="K39" t="str">
        <x:v>Passed</x:v>
      </x:c>
      <x:c r="L39" t="str">
        <x:v>Yes</x:v>
      </x:c>
      <x:c r="M39" t="str">
        <x:v>Row lock and optimistic version check verified 2026-09-20</x:v>
      </x:c>
    </x:row>
    <x:row r="40">
      <x:c r="A40" t="str">
        <x:v>TC-P03-013</x:v>
      </x:c>
      <x:c r="B40" t="str">
        <x:v>P03</x:v>
      </x:c>
      <x:c r="C40" t="str">
        <x:v>Duplicate submission race</x:v>
      </x:c>
      <x:c r="D40" t="str">
        <x:v>Concurrency</x:v>
      </x:c>
      <x:c r="E40" t="str">
        <x:v>One valid draft and one shared idempotency key</x:v>
      </x:c>
      <x:c r="F40" t="str">
        <x:v>Release two submit requests simultaneously</x:v>
      </x:c>
      <x:c r="G40" t="str">
        <x:v>Both calls return one identical result and create one request number</x:v>
      </x:c>
      <x:c r="H40" t="str">
        <x:v>Automated</x:v>
      </x:c>
      <x:c r="I40" t="str">
        <x:v>pytest tests/test_payment_requests.py::test_duplicate_submission_race_is_idempotent</x:v>
      </x:c>
      <x:c r="J40" t="str">
        <x:v>Critical</x:v>
      </x:c>
      <x:c r="K40" t="str">
        <x:v>Passed</x:v>
      </x:c>
      <x:c r="L40" t="str">
        <x:v>Yes</x:v>
      </x:c>
      <x:c r="M40" t="str">
        <x:v>Post-lock idempotency recheck verified 2026-09-20</x:v>
      </x:c>
    </x:row>
    <x:row r="41">
      <x:c r="A41" t="str">
        <x:v>TC-P03-014</x:v>
      </x:c>
      <x:c r="B41" t="str">
        <x:v>P03</x:v>
      </x:c>
      <x:c r="C41" t="str">
        <x:v>Concurrent request numbering</x:v>
      </x:c>
      <x:c r="D41" t="str">
        <x:v>Concurrency</x:v>
      </x:c>
      <x:c r="E41" t="str">
        <x:v>Six valid drafts and independent authenticated sessions</x:v>
      </x:c>
      <x:c r="F41" t="str">
        <x:v>Submit all drafts simultaneously</x:v>
      </x:c>
      <x:c r="G41" t="str">
        <x:v>All submissions succeed with unique contiguous academic-year numbers</x:v>
      </x:c>
      <x:c r="H41" t="str">
        <x:v>Automated</x:v>
      </x:c>
      <x:c r="I41" t="str">
        <x:v>pytest tests/test_payment_requests.py::test_concurrent_submissions_receive_unique_sequential_numbers</x:v>
      </x:c>
      <x:c r="J41" t="str">
        <x:v>Critical</x:v>
      </x:c>
      <x:c r="K41" t="str">
        <x:v>Passed</x:v>
      </x:c>
      <x:c r="L41" t="str">
        <x:v>Yes</x:v>
      </x:c>
      <x:c r="M41" t="str">
        <x:v>Transaction advisory lock and sequence row lock verified 2026-09-20</x:v>
      </x:c>
    </x:row>
    <x:row r="42">
      <x:c r="A42" t="str">
        <x:v>TC-P03-015</x:v>
      </x:c>
      <x:c r="B42" t="str">
        <x:v>P03</x:v>
      </x:c>
      <x:c r="C42" t="str">
        <x:v>Large-list pagination and performance</x:v>
      </x:c>
      <x:c r="D42" t="str">
        <x:v>Performance</x:v>
      </x:c>
      <x:c r="E42" t="str">
        <x:v>130 owned request fixtures exist</x:v>
      </x:c>
      <x:c r="F42" t="str">
        <x:v>Read pages 1 and 2 at 50 records per page</x:v>
      </x:c>
      <x:c r="G42" t="str">
        <x:v>Stable non-overlapping pages, total metadata, bounded queries and response time under 3 seconds</x:v>
      </x:c>
      <x:c r="H42" t="str">
        <x:v>Automated</x:v>
      </x:c>
      <x:c r="I42" t="str">
        <x:v>pytest tests/test_payment_requests.py::test_large_request_list_is_bounded_paginated_and_query_efficient</x:v>
      </x:c>
      <x:c r="J42" t="str">
        <x:v>High</x:v>
      </x:c>
      <x:c r="K42" t="str">
        <x:v>Passed</x:v>
      </x:c>
      <x:c r="L42" t="str">
        <x:v>Yes</x:v>
      </x:c>
      <x:c r="M42" t="str">
        <x:v>Two pages completed in about 23 ms using 22 constant-count SQL statements</x:v>
      </x:c>
    </x:row>
    <x:row r="43">
      <x:c r="A43" t="str">
        <x:v>TC-P03-016</x:v>
      </x:c>
      <x:c r="B43" t="str">
        <x:v>P03</x:v>
      </x:c>
      <x:c r="C43" t="str">
        <x:v>Request list search, filters and sorting</x:v>
      </x:c>
      <x:c r="D43" t="str">
        <x:v>API</x:v>
      </x:c>
      <x:c r="E43" t="str">
        <x:v>Role-scoped request fixtures exist</x:v>
      </x:c>
      <x:c r="F43" t="str">
        <x:v>Query by search, type, status, department, dates, amount and sort</x:v>
      </x:c>
      <x:c r="G43" t="str">
        <x:v>Only authorized matching rows return with stable bounded pagination</x:v>
      </x:c>
      <x:c r="H43" t="str">
        <x:v>Automated</x:v>
      </x:c>
      <x:c r="I43" t="str">
        <x:v>pytest tests/test_payment_requests.py::test_request_list_supports_search_filters_sorting_and_amount_bounds</x:v>
      </x:c>
      <x:c r="J43" t="str">
        <x:v>Critical</x:v>
      </x:c>
      <x:c r="K43" t="str">
        <x:v>Passed</x:v>
      </x:c>
      <x:c r="L43" t="str">
        <x:v>Yes</x:v>
      </x:c>
      <x:c r="M43" t="str">
        <x:v>Server-side filters and pagination headers verified 2026-09-21</x:v>
      </x:c>
    </x:row>
    <x:row r="44">
      <x:c r="A44" t="str">
        <x:v>TC-P03-017</x:v>
      </x:c>
      <x:c r="B44" t="str">
        <x:v>P03</x:v>
      </x:c>
      <x:c r="C44" t="str">
        <x:v>Draft retention archival</x:v>
      </x:c>
      <x:c r="D44" t="str">
        <x:v>Retention</x:v>
      </x:c>
      <x:c r="E44" t="str">
        <x:v>Expired and current drafts exist in the test database</x:v>
      </x:c>
      <x:c r="F44" t="str">
        <x:v>Run archive-drafts in dry-run and enabled modes</x:v>
      </x:c>
      <x:c r="G44" t="str">
        <x:v>Only expired drafts are archived, audited and retained; submitted requests remain unchanged</x:v>
      </x:c>
      <x:c r="H44" t="str">
        <x:v>Automated</x:v>
      </x:c>
      <x:c r="I44" t="str">
        <x:v>pytest tests/test_maintenance.py</x:v>
      </x:c>
      <x:c r="J44" t="str">
        <x:v>Critical</x:v>
      </x:c>
      <x:c r="K44" t="str">
        <x:v>Passed</x:v>
      </x:c>
      <x:c r="L44" t="str">
        <x:v>Yes</x:v>
      </x:c>
      <x:c r="M44" t="str">
        <x:v>Explicit enable, dry run, batch processing and audit event verified 2026-09-21</x:v>
      </x:c>
    </x:row>
    <x:row r="45">
      <x:c r="A45" t="str">
        <x:v>TC-P03-018</x:v>
      </x:c>
      <x:c r="B45" t="str">
        <x:v>P03</x:v>
      </x:c>
      <x:c r="C45" t="str">
        <x:v>PHP/USD/EUR monetary boundaries</x:v>
      </x:c>
      <x:c r="D45" t="str">
        <x:v>Financial validation</x:v>
      </x:c>
      <x:c r="E45" t="str">
        <x:v>Valid request payloads for three currencies</x:v>
      </x:c>
      <x:c r="F45" t="str">
        <x:v>Persist exact four-decimal amounts; test zero, negative and maximum values</x:v>
      </x:c>
      <x:c r="G45" t="str">
        <x:v>Exact values persist; zero/negative submissions fail; supported maximum succeeds</x:v>
      </x:c>
      <x:c r="H45" t="str">
        <x:v>Automated</x:v>
      </x:c>
      <x:c r="I45" t="str">
        <x:v>pytest tests/test_payment_requests.py</x:v>
      </x:c>
      <x:c r="J45" t="str">
        <x:v>Critical</x:v>
      </x:c>
      <x:c r="K45" t="str">
        <x:v>Passed</x:v>
      </x:c>
      <x:c r="L45" t="str">
        <x:v>Yes</x:v>
      </x:c>
      <x:c r="M45" t="str">
        <x:v>Four-decimal persistence and amount bounds verified 2026-09-21</x:v>
      </x:c>
    </x:row>
    <x:row r="46">
      <x:c r="A46" t="str">
        <x:v>TC-P03-019</x:v>
      </x:c>
      <x:c r="B46" t="str">
        <x:v>P03</x:v>
      </x:c>
      <x:c r="C46" t="str">
        <x:v>Manager and privileged access authorization</x:v>
      </x:c>
      <x:c r="D46" t="str">
        <x:v>Security</x:v>
      </x:c>
      <x:c r="E46" t="str">
        <x:v>Manager, direct report, unrelated user and administrator exist</x:v>
      </x:c>
      <x:c r="F46" t="str">
        <x:v>Read scoped requests and execute unauthorized lifecycle commands</x:v>
      </x:c>
      <x:c r="G46" t="str">
        <x:v>Manager sees direct reports; unrelated access is denied; privileged reads are audited</x:v>
      </x:c>
      <x:c r="H46" t="str">
        <x:v>Automated</x:v>
      </x:c>
      <x:c r="I46" t="str">
        <x:v>pytest tests/test_payment_requests.py</x:v>
      </x:c>
      <x:c r="J46" t="str">
        <x:v>Critical</x:v>
      </x:c>
      <x:c r="K46" t="str">
        <x:v>Passed</x:v>
      </x:c>
      <x:c r="L46" t="str">
        <x:v>Yes</x:v>
      </x:c>
      <x:c r="M46" t="str">
        <x:v>Manager scope, explicit deny and payment_request.privileged_read audit verified 2026-09-21</x:v>
      </x:c>
    </x:row>
    <x:row r="47">
      <x:c r="A47" t="str">
        <x:v>TC-P03-020</x:v>
      </x:c>
      <x:c r="B47" t="str">
        <x:v>P03</x:v>
      </x:c>
      <x:c r="C47" t="str">
        <x:v>Frontend API-backed request filters</x:v>
      </x:c>
      <x:c r="D47" t="str">
        <x:v>Integration</x:v>
      </x:c>
      <x:c r="E47" t="str">
        <x:v>Frontend and API are running</x:v>
      </x:c>
      <x:c r="F47" t="str">
        <x:v>Apply dashboard request filters and clear them</x:v>
      </x:c>
      <x:c r="G47" t="str">
        <x:v>Frontend sends API query parameters and retains hybrid fallback behavior</x:v>
      </x:c>
      <x:c r="H47" t="str">
        <x:v>Automated</x:v>
      </x:c>
      <x:c r="I47" t="str">
        <x:v>pnpm run build; source integration review</x:v>
      </x:c>
      <x:c r="J47" t="str">
        <x:v>High</x:v>
      </x:c>
      <x:c r="K47" t="str">
        <x:v>Passed</x:v>
      </x:c>
      <x:c r="L47" t="str">
        <x:v>Yes</x:v>
      </x:c>
      <x:c r="M47" t="str">
        <x:v>Production build and API adapter mapping passed 2026-09-21</x:v>
      </x:c>
    </x:row>
    <x:row r="48">
      <x:c r="A48" t="str">
        <x:v>TC-P03-021</x:v>
      </x:c>
      <x:c r="B48" t="str">
        <x:v>P03</x:v>
      </x:c>
      <x:c r="C48" t="str">
        <x:v>Integrated login and dashboard</x:v>
      </x:c>
      <x:c r="D48" t="str">
        <x:v>UI</x:v>
      </x:c>
      <x:c r="E48" t="str">
        <x:v>API and frontend are running locally</x:v>
      </x:c>
      <x:c r="F48" t="str">
        <x:v>Use Login As System Administrator and sign in</x:v>
      </x:c>
      <x:c r="G48" t="str">
        <x:v>Credentials populate, login stays on the card, and API-connected dashboard renders</x:v>
      </x:c>
      <x:c r="H48" t="str">
        <x:v>Manual</x:v>
      </x:c>
      <x:c r="I48" t="str">
        <x:v>http://127.0.0.1:5177/#/login</x:v>
      </x:c>
      <x:c r="J48" t="str">
        <x:v>Critical</x:v>
      </x:c>
      <x:c r="K48" t="str">
        <x:v>Passed</x:v>
      </x:c>
      <x:c r="L48" t="str">
        <x:v>Yes</x:v>
      </x:c>
      <x:c r="M48" t="str">
        <x:v>Live browser verification passed 2026-09-21; existing frontend-only server was not changed</x:v>
      </x:c>
    </x:row>
    <x:row r="49">
      <x:c r="A49" t="str">
        <x:v>TC-P03-022</x:v>
      </x:c>
      <x:c r="B49" t="str">
        <x:v>P03</x:v>
      </x:c>
      <x:c r="C49" t="str">
        <x:v>Request API documentation</x:v>
      </x:c>
      <x:c r="D49" t="str">
        <x:v>Documentation</x:v>
      </x:c>
      <x:c r="E49" t="str">
        <x:v>Phase 03 API implementation is current</x:v>
      </x:c>
      <x:c r="F49" t="str">
        <x:v>Review request query, lifecycle, validation, retention and error documentation</x:v>
      </x:c>
      <x:c r="G49" t="str">
        <x:v>Documented contract matches implemented endpoints and maintenance controls</x:v>
      </x:c>
      <x:c r="H49" t="str">
        <x:v>Manual</x:v>
      </x:c>
      <x:c r="I49" t="str">
        <x:v>docs/phase-03-api.md</x:v>
      </x:c>
      <x:c r="J49" t="str">
        <x:v>Medium</x:v>
      </x:c>
      <x:c r="K49" t="str">
        <x:v>Passed</x:v>
      </x:c>
      <x:c r="L49" t="str">
        <x:v>Yes</x:v>
      </x:c>
      <x:c r="M49" t="str">
        <x:v>API contract documentation reviewed 2026-09-21</x:v>
      </x:c>
    </x:row>
    <x:row r="50">
      <x:c r="A50" t="str">
        <x:v>TC-P03-023</x:v>
      </x:c>
      <x:c r="B50" t="str">
        <x:v>P03</x:v>
      </x:c>
      <x:c r="C50" t="str">
        <x:v>Request API focused regression</x:v>
      </x:c>
      <x:c r="D50" t="str">
        <x:v>Automated</x:v>
      </x:c>
      <x:c r="E50" t="str">
        <x:v>Dedicated PostgreSQL _test database</x:v>
      </x:c>
      <x:c r="F50" t="str">
        <x:v>Run focused request API suite</x:v>
      </x:c>
      <x:c r="G50" t="str">
        <x:v>All request API tests pass</x:v>
      </x:c>
      <x:c r="H50" t="str">
        <x:v>Automated</x:v>
      </x:c>
      <x:c r="I50" t="str">
        <x:v>pytest -q tests/test_payment_requests.py</x:v>
      </x:c>
      <x:c r="J50" t="str">
        <x:v>Critical</x:v>
      </x:c>
      <x:c r="K50" t="str">
        <x:v>Passed</x:v>
      </x:c>
      <x:c r="L50" t="str">
        <x:v>Yes</x:v>
      </x:c>
      <x:c r="M50" t="str">
        <x:v>21 passed, 1 warning on 2026-09-22</x:v>
      </x:c>
    </x:row>
    <x:row r="51">
      <x:c r="A51" t="str">
        <x:v>TC-P03-024</x:v>
      </x:c>
      <x:c r="B51" t="str">
        <x:v>P03</x:v>
      </x:c>
      <x:c r="C51" t="str">
        <x:v>API-connected draft persistence</x:v>
      </x:c>
      <x:c r="D51" t="str">
        <x:v>UI integration</x:v>
      </x:c>
      <x:c r="E51" t="str">
        <x:v>Requestor signed in to isolated test API</x:v>
      </x:c>
      <x:c r="F51" t="str">
        <x:v>Save incomplete Reimbursement draft, reload, reopen from My Drafts</x:v>
      </x:c>
      <x:c r="G51" t="str">
        <x:v>Purpose and department persist; backend draft appears in list</x:v>
      </x:c>
      <x:c r="H51" t="str">
        <x:v>Manual</x:v>
      </x:c>
      <x:c r="I51" t="str">
        <x:v>http://127.0.0.1:5184/#/requests</x:v>
      </x:c>
      <x:c r="J51" t="str">
        <x:v>Critical</x:v>
      </x:c>
      <x:c r="K51" t="str">
        <x:v>Passed</x:v>
      </x:c>
      <x:c r="L51" t="str">
        <x:v>Yes</x:v>
      </x:c>
      <x:c r="M51" t="str">
        <x:v>Synthetic QA draft deleted through API after verification</x:v>
      </x:c>
    </x:row>
    <x:row r="52">
      <x:c r="A52" t="str">
        <x:v>TC-P03-025</x:v>
      </x:c>
      <x:c r="B52" t="str">
        <x:v>P03</x:v>
      </x:c>
      <x:c r="C52" t="str">
        <x:v>Incomplete request feedback</x:v>
      </x:c>
      <x:c r="D52" t="str">
        <x:v>UI negative</x:v>
      </x:c>
      <x:c r="E52" t="str">
        <x:v>API-connected Reimbursement and mock General Payment forms</x:v>
      </x:c>
      <x:c r="F52" t="str">
        <x:v>Submit empty Reimbursement line and started but incomplete General Payment line</x:v>
      </x:c>
      <x:c r="G52" t="str">
        <x:v>Submission blocked with actionable line-level message</x:v>
      </x:c>
      <x:c r="H52" t="str">
        <x:v>Manual</x:v>
      </x:c>
      <x:c r="I52" t="str">
        <x:v>http://127.0.0.1:5184/#/requests; http://127.0.0.1:5185/#/requests</x:v>
      </x:c>
      <x:c r="J52" t="str">
        <x:v>Critical</x:v>
      </x:c>
      <x:c r="K52" t="str">
        <x:v>Passed</x:v>
      </x:c>
      <x:c r="L52" t="str">
        <x:v>Yes</x:v>
      </x:c>
      <x:c r="M52" t="str">
        <x:v>Reimbursement and General Payment messages observed</x:v>
      </x:c>
    </x:row>
    <x:row r="53">
      <x:c r="A53" t="str">
        <x:v>TC-P03-026</x:v>
      </x:c>
      <x:c r="B53" t="str">
        <x:v>P03</x:v>
      </x:c>
      <x:c r="C53" t="str">
        <x:v>Standalone draft reload</x:v>
      </x:c>
      <x:c r="D53" t="str">
        <x:v>UI regression</x:v>
      </x:c>
      <x:c r="E53" t="str">
        <x:v>Frontend in mock mode</x:v>
      </x:c>
      <x:c r="F53" t="str">
        <x:v>Save a General Payment draft, reload, open My Drafts and continue editing</x:v>
      </x:c>
      <x:c r="G53" t="str">
        <x:v>Draft and entered line content survive reload without API</x:v>
      </x:c>
      <x:c r="H53" t="str">
        <x:v>Manual</x:v>
      </x:c>
      <x:c r="I53" t="str">
        <x:v>http://127.0.0.1:5185/#/requests</x:v>
      </x:c>
      <x:c r="J53" t="str">
        <x:v>High</x:v>
      </x:c>
      <x:c r="K53" t="str">
        <x:v>Passed</x:v>
      </x:c>
      <x:c r="L53" t="str">
        <x:v>Yes</x:v>
      </x:c>
      <x:c r="M53" t="str">
        <x:v>Browser-local mock draft persistence added and verified</x:v>
      </x:c>
    </x:row>
    <x:row r="54">
      <x:c r="A54" t="str">
        <x:v>TC-P03-027</x:v>
      </x:c>
      <x:c r="B54" t="str">
        <x:v>P03</x:v>
      </x:c>
      <x:c r="C54" t="str">
        <x:v>Five request forms at mobile width</x:v>
      </x:c>
      <x:c r="D54" t="str">
        <x:v>Responsive</x:v>
      </x:c>
      <x:c r="E54" t="str">
        <x:v>Frontend in standalone mock mode</x:v>
      </x:c>
      <x:c r="F54" t="str">
        <x:v>Open every request form at 390 x 844</x:v>
      </x:c>
      <x:c r="G54" t="str">
        <x:v>All forms and submit actions render without document horizontal overflow</x:v>
      </x:c>
      <x:c r="H54" t="str">
        <x:v>Manual</x:v>
      </x:c>
      <x:c r="I54" t="str">
        <x:v>http://127.0.0.1:5185/#/requests</x:v>
      </x:c>
      <x:c r="J54" t="str">
        <x:v>High</x:v>
      </x:c>
      <x:c r="K54" t="str">
        <x:v>Passed</x:v>
      </x:c>
      <x:c r="L54" t="str">
        <x:v>Yes</x:v>
      </x:c>
      <x:c r="M54" t="str">
        <x:v>Five form routes rendered; document scroll width 375 at width 390</x:v>
      </x:c>
    </x:row>
    <x:row r="55">
      <x:c r="A55" t="str">
        <x:v>TC-P03-028</x:v>
      </x:c>
      <x:c r="B55" t="str">
        <x:v>P03</x:v>
      </x:c>
      <x:c r="C55" t="str">
        <x:v>Five API-connected form routes</x:v>
      </x:c>
      <x:c r="D55" t="str">
        <x:v>UI integration</x:v>
      </x:c>
      <x:c r="E55" t="str">
        <x:v>Requestor signed in to isolated test API</x:v>
      </x:c>
      <x:c r="F55" t="str">
        <x:v>Open each of the five request forms</x:v>
      </x:c>
      <x:c r="G55" t="str">
        <x:v>Each form renders with API connected and submit action available</x:v>
      </x:c>
      <x:c r="H55" t="str">
        <x:v>Manual</x:v>
      </x:c>
      <x:c r="I55" t="str">
        <x:v>http://127.0.0.1:5184/#/requests</x:v>
      </x:c>
      <x:c r="J55" t="str">
        <x:v>High</x:v>
      </x:c>
      <x:c r="K55" t="str">
        <x:v>Passed</x:v>
      </x:c>
      <x:c r="L55" t="str">
        <x:v>Yes</x:v>
      </x:c>
      <x:c r="M55" t="str">
        <x:v>All five routes rendered; General Payment settled after asynchronous load</x:v>
      </x:c>
    </x:row>
    <x:row r="56">
      <x:c r="A56" t="str">
        <x:v>TC-P03-029</x:v>
      </x:c>
      <x:c r="B56" t="str">
        <x:v>P03</x:v>
      </x:c>
      <x:c r="C56" t="str">
        <x:v>Full browser request lifecycle</x:v>
      </x:c>
      <x:c r="D56" t="str">
        <x:v>End-to-end</x:v>
      </x:c>
      <x:c r="E56" t="str">
        <x:v>Safe test users and reference data</x:v>
      </x:c>
      <x:c r="F56" t="str">
        <x:v>Create, edit, submit, return, resubmit, cancel and reopen all five types through the UI</x:v>
      </x:c>
      <x:c r="G56" t="str">
        <x:v>Persisted states, errors and role visibility match API rules</x:v>
      </x:c>
      <x:c r="H56" t="str">
        <x:v>Manual</x:v>
      </x:c>
      <x:c r="I56" t="str">
        <x:v>Phase 03 browser acceptance script</x:v>
      </x:c>
      <x:c r="J56" t="str">
        <x:v>Critical</x:v>
      </x:c>
      <x:c r="K56" t="str">
        <x:v>Passed</x:v>
      </x:c>
      <x:c r="L56" t="str">
        <x:v>Yes</x:v>
      </x:c>
      <x:c r="M56" t="str">
        <x:v>Five isolated Chrome role sessions passed return, resubmit, cancel and reopen for all five request types on 2026-09-28.</x:v>
      </x:c>
    </x:row>
    <x:row r="57">
      <x:c r="A57" t="str">
        <x:v>TC-P03-030</x:v>
      </x:c>
      <x:c r="B57" t="str">
        <x:v>P03</x:v>
      </x:c>
      <x:c r="C57" t="str">
        <x:v>Duplicate invoice classification</x:v>
      </x:c>
      <x:c r="D57" t="str">
        <x:v>Automated</x:v>
      </x:c>
      <x:c r="E57" t="str">
        <x:v>Existing submitted invoice line</x:v>
      </x:c>
      <x:c r="F57" t="str">
        <x:v>Submit a same-reference line with all fields equal, then one with a different amount</x:v>
      </x:c>
      <x:c r="G57" t="str">
        <x:v>Complete match is tagged exact; changed information is a non-blocking Finance warning with differing fields</x:v>
      </x:c>
      <x:c r="H57" t="str">
        <x:v>Automated</x:v>
      </x:c>
      <x:c r="I57" t="str">
        <x:v>pytest -q tests/test_payment_requests.py -k duplicate_invoice</x:v>
      </x:c>
      <x:c r="J57" t="str">
        <x:v>Critical</x:v>
      </x:c>
      <x:c r="K57" t="str">
        <x:v>Passed</x:v>
      </x:c>
      <x:c r="L57" t="str">
        <x:v>Yes</x:v>
      </x:c>
      <x:c r="M57" t="str">
        <x:v>Invoice number comparison ignores case and whitespace; both match levels require Finance verification</x:v>
      </x:c>
    </x:row>
    <x:row r="58">
      <x:c r="A58" t="str">
        <x:v>TC-P03-031</x:v>
      </x:c>
      <x:c r="B58" t="str">
        <x:v>P03</x:v>
      </x:c>
      <x:c r="C58" t="str">
        <x:v>Amount and currency without conversion</x:v>
      </x:c>
      <x:c r="D58" t="str">
        <x:v>Automated</x:v>
      </x:c>
      <x:c r="E58" t="str">
        <x:v>Active PHP and USD currencies</x:v>
      </x:c>
      <x:c r="F58" t="str">
        <x:v>Submit same-reference PHP and USD requests and inspect stored response</x:v>
      </x:c>
      <x:c r="G58" t="str">
        <x:v>Entered USD amount and currency remain unchanged; no exchange-rate or converted-amount field is produced</x:v>
      </x:c>
      <x:c r="H58" t="str">
        <x:v>Automated</x:v>
      </x:c>
      <x:c r="I58" t="str">
        <x:v>pytest -q tests/test_payment_requests.py -k foreign_currency</x:v>
      </x:c>
      <x:c r="J58" t="str">
        <x:v>Critical</x:v>
      </x:c>
      <x:c r="K58" t="str">
        <x:v>Passed</x:v>
      </x:c>
      <x:c r="L58" t="str">
        <x:v>Yes</x:v>
      </x:c>
      <x:c r="M58" t="str">
        <x:v>Currency difference produces a non-blocking duplicate warning for Finance verification</x:v>
      </x:c>
    </x:row>
    <x:row r="59">
      <x:c r="A59" t="str">
        <x:v>TC-P03-032</x:v>
      </x:c>
      <x:c r="B59" t="str">
        <x:v>P03</x:v>
      </x:c>
      <x:c r="C59" t="str">
        <x:v>Authoritative P.O. eligibility and safe snapshot</x:v>
      </x:c>
      <x:c r="D59" t="str">
        <x:v>Integration</x:v>
      </x:c>
      <x:c r="E59" t="str">
        <x:v>Seeded Procurement P.O. and vendor adapters; Docker PostgreSQL test database</x:v>
      </x:c>
      <x:c r="F59" t="str">
        <x:v>Submit an eligible P.O. payment and inspect stored type data</x:v>
      </x:c>
      <x:c r="G59" t="str">
        <x:v>Backend accepts only authoritative values and stores P.O./vendor facts without bank fields</x:v>
      </x:c>
      <x:c r="H59" t="str">
        <x:v>Automated</x:v>
      </x:c>
      <x:c r="I59" t="str">
        <x:v>pytest -q tests/test_payment_requests.py</x:v>
      </x:c>
      <x:c r="J59" t="str">
        <x:v>Critical</x:v>
      </x:c>
      <x:c r="K59" t="str">
        <x:v>Passed</x:v>
      </x:c>
      <x:c r="L59" t="str">
        <x:v>Yes</x:v>
      </x:c>
      <x:c r="M59" t="str">
        <x:v>PO-DEMO-1001 snapshot includes eligible P.O. and VEND-DEMO-001; no bank keys</x:v>
      </x:c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</x:row>
    <x:row r="61">
      <x:c r="A61" t="str">
        <x:v>TC-P03-034</x:v>
      </x:c>
      <x:c r="B61" t="str">
        <x:v>P03</x:v>
      </x:c>
      <x:c r="C61" t="str">
        <x:v>Confirmed Cash Advance business rules</x:v>
      </x:c>
      <x:c r="D61" t="str">
        <x:v>Business Rule</x:v>
      </x:c>
      <x:c r="E61" t="str">
        <x:v>Docker PostgreSQL test database and requestor account</x:v>
      </x:c>
      <x:c r="F61" t="str">
        <x:v>Submit over-limit, wrong due date, second outstanding advance, liquidation and retry</x:v>
      </x:c>
      <x:c r="G61" t="str">
        <x:v>PHP 40,000 cap and exact 15-day date block invalid drafts; second advance is allowed only after submitted liquidation</x:v>
      </x:c>
      <x:c r="H61" t="str">
        <x:v>Automated</x:v>
      </x:c>
      <x:c r="I61" t="str">
        <x:v>pytest -q tests/test_payment_requests.py</x:v>
      </x:c>
      <x:c r="J61" t="str">
        <x:v>Critical</x:v>
      </x:c>
      <x:c r="K61" t="str">
        <x:v>Passed</x:v>
      </x:c>
      <x:c r="L61" t="str">
        <x:v>Yes</x:v>
      </x:c>
      <x:c r="M61" t="str">
        <x:v>Per-requestor advisory lock protects concurrent submissions</x:v>
      </x:c>
    </x:row>
    <x:row r="62">
      <x:c r="A62" t="str">
        <x:v>TC-P03-035</x:v>
      </x:c>
      <x:c r="B62" t="str">
        <x:v>P03</x:v>
      </x:c>
      <x:c r="C62" t="str">
        <x:v>Focused payment-request regression</x:v>
      </x:c>
      <x:c r="D62" t="str">
        <x:v>Automated</x:v>
      </x:c>
      <x:c r="E62" t="str">
        <x:v>Dedicated Docker PostgreSQL test database</x:v>
      </x:c>
      <x:c r="F62" t="str">
        <x:v>Run the complete payment request test module</x:v>
      </x:c>
      <x:c r="G62" t="str">
        <x:v>All CRUD, lifecycle, concurrency, pagination, validation and business-rule tests pass</x:v>
      </x:c>
      <x:c r="H62" t="str">
        <x:v>Automated</x:v>
      </x:c>
      <x:c r="I62" t="str">
        <x:v>pytest -q tests/test_payment_requests.py</x:v>
      </x:c>
      <x:c r="J62" t="str">
        <x:v>Critical</x:v>
      </x:c>
      <x:c r="K62" t="str">
        <x:v>Passed</x:v>
      </x:c>
      <x:c r="L62" t="str">
        <x:v>Yes</x:v>
      </x:c>
      <x:c r="M62" t="str">
        <x:v>30 passed, 1 warning in 68.25 seconds</x:v>
      </x:c>
    </x:row>
    <x:row r="63">
      <x:c r="A63" t="str">
        <x:v>TC-P03-036</x:v>
      </x:c>
      <x:c r="B63" t="str">
        <x:v>P03</x:v>
      </x:c>
      <x:c r="C63" t="str">
        <x:v>Reimbursement Finance guidance build</x:v>
      </x:c>
      <x:c r="D63" t="str">
        <x:v>Build</x:v>
      </x:c>
      <x:c r="E63" t="str">
        <x:v>Current request-form frontend</x:v>
      </x:c>
      <x:c r="F63" t="str">
        <x:v>Build the production frontend bundle</x:v>
      </x:c>
      <x:c r="G63" t="str">
        <x:v>Timing, invoice-age, petty-cash and batch guidance compiles without changing blocking rules</x:v>
      </x:c>
      <x:c r="H63" t="str">
        <x:v>Automated</x:v>
      </x:c>
      <x:c r="I63" t="str">
        <x:v>pnpm run build</x:v>
      </x:c>
      <x:c r="J63" t="str">
        <x:v>High</x:v>
      </x:c>
      <x:c r="K63" t="str">
        <x:v>Passed</x:v>
      </x:c>
      <x:c r="L63" t="str">
        <x:v>Yes</x:v>
      </x:c>
      <x:c r="M63" t="str">
        <x:v>Vite 7.3.6 production build passed</x:v>
      </x:c>
    </x:row>
    <x:row r="64">
      <x:c r="A64" t="str">
        <x:v>TC-P03-037</x:v>
      </x:c>
      <x:c r="B64" t="str">
        <x:v>P03</x:v>
      </x:c>
      <x:c r="C64" t="str">
        <x:v>Complete Phase 00-04 backend regression</x:v>
      </x:c>
      <x:c r="D64" t="str">
        <x:v>Automated</x:v>
      </x:c>
      <x:c r="E64" t="str">
        <x:v>Dedicated Docker PostgreSQL 16 test database</x:v>
      </x:c>
      <x:c r="F64" t="str">
        <x:v>Run the full pytest suite</x:v>
      </x:c>
      <x:c r="G64" t="str">
        <x:v>All implemented backend phases pass against PostgreSQL</x:v>
      </x:c>
      <x:c r="H64" t="str">
        <x:v>Automated</x:v>
      </x:c>
      <x:c r="I64" t="str">
        <x:v>pytest -q</x:v>
      </x:c>
      <x:c r="J64" t="str">
        <x:v>Critical</x:v>
      </x:c>
      <x:c r="K64" t="str">
        <x:v>Passed</x:v>
      </x:c>
      <x:c r="L64" t="str">
        <x:v>Yes</x:v>
      </x:c>
      <x:c r="M64" t="str">
        <x:v>72 passed, 1 warning in 146.36 seconds</x:v>
      </x:c>
    </x:row>
    <x:row r="65">
      <x:c r="A65" t="str">
        <x:v>TC-P03-038</x:v>
      </x:c>
      <x:c r="B65" t="str">
        <x:v>P03</x:v>
      </x:c>
      <x:c r="C65" t="str">
        <x:v>API-connected Procurement and Finance-guidance browser check</x:v>
      </x:c>
      <x:c r="D65" t="str">
        <x:v>UI Integration</x:v>
      </x:c>
      <x:c r="E65" t="str">
        <x:v>Current frontend, rebuilt API and refreshed idempotent development seed</x:v>
      </x:c>
      <x:c r="F65" t="str">
        <x:v>Open P.O., Cash Advance and Reimbursement forms as the development Requestor</x:v>
      </x:c>
      <x:c r="G65" t="str">
        <x:v>P.O. selector shows only current eligible API records; generated P.O. facts and confirmed Finance guidance render</x:v>
      </x:c>
      <x:c r="H65" t="str">
        <x:v>Manual</x:v>
      </x:c>
      <x:c r="I65" t="str">
        <x:v>http://127.0.0.1:5175/#/requests</x:v>
      </x:c>
      <x:c r="J65" t="str">
        <x:v>Critical</x:v>
      </x:c>
      <x:c r="K65" t="str">
        <x:v>Passed</x:v>
      </x:c>
      <x:c r="L65" t="str">
        <x:v>Yes</x:v>
      </x:c>
      <x:c r="M65" t="str">
        <x:v>Verified PO-DEMO-1001/1002, PHP 40,000/15-day/one-advance guidance and Reimbursement timing/petty-cash guidance</x:v>
      </x:c>
    </x:row>
    <x:row r="66">
      <x:c r="A66" t="str">
        <x:v>TC-P04-001</x:v>
      </x:c>
      <x:c r="B66" t="str">
        <x:v>P04</x:v>
      </x:c>
      <x:c r="C66" t="str">
        <x:v>Private document upload, preview and replacement</x:v>
      </x:c>
      <x:c r="D66" t="str">
        <x:v>Integration</x:v>
      </x:c>
      <x:c r="E66" t="str">
        <x:v>Editable persisted request and private MinIO bucket</x:v>
      </x:c>
      <x:c r="F66" t="str">
        <x:v>Upload, list, preview and replace a document; verify version and authorization behavior</x:v>
      </x:c>
      <x:c r="G66" t="str">
        <x:v>Authorized users receive the file and immutable versions; unauthorized access fails without exposing storage details</x:v>
      </x:c>
      <x:c r="H66" t="str">
        <x:v>Automated</x:v>
      </x:c>
      <x:c r="I66" t="str">
        <x:v>pytest -q tests/test_documents.py</x:v>
      </x:c>
      <x:c r="J66" t="str">
        <x:v>Critical</x:v>
      </x:c>
      <x:c r="K66" t="str">
        <x:v>Passed</x:v>
      </x:c>
      <x:c r="L66" t="str">
        <x:v>Yes</x:v>
      </x:c>
      <x:c r="M66" t="str">
        <x:v>Upload, listing, content streaming, replacement, duplicate warning and access controls covered</x:v>
      </x:c>
    </x:row>
    <x:row r="67">
      <x:c r="A67" t="str">
        <x:v>TC-P04-002</x:v>
      </x:c>
      <x:c r="B67" t="str">
        <x:v>P04</x:v>
      </x:c>
      <x:c r="C67" t="str">
        <x:v>Audited draft document removal</x:v>
      </x:c>
      <x:c r="D67" t="str">
        <x:v>Automated</x:v>
      </x:c>
      <x:c r="E67" t="str">
        <x:v>Owned editable request with stored document</x:v>
      </x:c>
      <x:c r="F67" t="str">
        <x:v>Remove with reason and inspect list, content and storage</x:v>
      </x:c>
      <x:c r="G67" t="str">
        <x:v>List excludes document, content returns gone, storage clears and metadata remains auditable</x:v>
      </x:c>
      <x:c r="H67" t="str">
        <x:v>Automated</x:v>
      </x:c>
      <x:c r="I67" t="str">
        <x:v>pytest -q tests/test_documents.py</x:v>
      </x:c>
      <x:c r="J67" t="str">
        <x:v>Critical</x:v>
      </x:c>
      <x:c r="K67" t="str">
        <x:v>Passed</x:v>
      </x:c>
      <x:c r="L67" t="str">
        <x:v>Yes</x:v>
      </x:c>
      <x:c r="M67" t="str">
        <x:v>Cleanup state and retry API implemented</x:v>
      </x:c>
    </x:row>
    <x:row r="68">
      <x:c r="A68" t="str">
        <x:v>TC-P04-003</x:v>
      </x:c>
      <x:c r="B68" t="str">
        <x:v>P04</x:v>
      </x:c>
      <x:c r="C68" t="str">
        <x:v>Required-document evaluation</x:v>
      </x:c>
      <x:c r="D68" t="str">
        <x:v>Automated</x:v>
      </x:c>
      <x:c r="E68" t="str">
        <x:v>Active reimbursement rule</x:v>
      </x:c>
      <x:c r="F68" t="str">
        <x:v>Evaluate before and after typed upload and call submission validator</x:v>
      </x:c>
      <x:c r="G68" t="str">
        <x:v>Missing requirement blocks; matching upload completes requirement</x:v>
      </x:c>
      <x:c r="H68" t="str">
        <x:v>Automated</x:v>
      </x:c>
      <x:c r="I68" t="str">
        <x:v>pytest -q tests/test_documents.py</x:v>
      </x:c>
      <x:c r="J68" t="str">
        <x:v>Critical</x:v>
      </x:c>
      <x:c r="K68" t="str">
        <x:v>Passed</x:v>
      </x:c>
      <x:c r="L68" t="str">
        <x:v>Yes</x:v>
      </x:c>
      <x:c r="M68" t="str">
        <x:v>Unconfigured request types remain non-blocking</x:v>
      </x:c>
    </x:row>
    <x:row r="69">
      <x:c r="A69" t="str">
        <x:v>TC-P04-004</x:v>
      </x:c>
      <x:c r="B69" t="str">
        <x:v>P04</x:v>
      </x:c>
      <x:c r="C69" t="str">
        <x:v>Finance hard-copy and reviewer histories</x:v>
      </x:c>
      <x:c r="D69" t="str">
        <x:v>Automated</x:v>
      </x:c>
      <x:c r="E69" t="str">
        <x:v>Finance Associate and uploaded document</x:v>
      </x:c>
      <x:c r="F69" t="str">
        <x:v>Record hard-copy received and replacement-required decision</x:v>
      </x:c>
      <x:c r="G69" t="str">
        <x:v>Current statuses and append-only history are returned</x:v>
      </x:c>
      <x:c r="H69" t="str">
        <x:v>Automated</x:v>
      </x:c>
      <x:c r="I69" t="str">
        <x:v>pytest -q tests/test_documents.py</x:v>
      </x:c>
      <x:c r="J69" t="str">
        <x:v>High</x:v>
      </x:c>
      <x:c r="K69" t="str">
        <x:v>Passed</x:v>
      </x:c>
      <x:c r="L69" t="str">
        <x:v>Yes</x:v>
      </x:c>
      <x:c r="M69" t="str">
        <x:v>Non-accept decisions require comments</x:v>
      </x:c>
    </x:row>
    <x:row r="70">
      <x:c r="A70" t="str">
        <x:v>TC-P04-005</x:v>
      </x:c>
      <x:c r="B70" t="str">
        <x:v>P04</x:v>
      </x:c>
      <x:c r="C70" t="str">
        <x:v>Document frontend build and API adapter</x:v>
      </x:c>
      <x:c r="D70" t="str">
        <x:v>Build</x:v>
      </x:c>
      <x:c r="E70" t="str">
        <x:v>Current document UI and data source</x:v>
      </x:c>
      <x:c r="F70" t="str">
        <x:v>Run JavaScript syntax checks and production build</x:v>
      </x:c>
      <x:c r="G70" t="str">
        <x:v>Build completes and mock fallback remains available</x:v>
      </x:c>
      <x:c r="H70" t="str">
        <x:v>Automated</x:v>
      </x:c>
      <x:c r="I70" t="str">
        <x:v>node --check; pnpm run build</x:v>
      </x:c>
      <x:c r="J70" t="str">
        <x:v>High</x:v>
      </x:c>
      <x:c r="K70" t="str">
        <x:v>Passed</x:v>
      </x:c>
      <x:c r="L70" t="str">
        <x:v>Yes</x:v>
      </x:c>
      <x:c r="M70" t="str">
        <x:v>Vite 7.3.6 production build passed</x:v>
      </x:c>
    </x:row>
    <x:row r="71">
      <x:c r="A71" t="str">
        <x:v>TC-P04-006</x:v>
      </x:c>
      <x:c r="B71" t="str">
        <x:v>P04</x:v>
      </x:c>
      <x:c r="C71" t="str">
        <x:v>Complete backend regression</x:v>
      </x:c>
      <x:c r="D71" t="str">
        <x:v>Automated</x:v>
      </x:c>
      <x:c r="E71" t="str">
        <x:v>Isolated Docker PostgreSQL 16 test database</x:v>
      </x:c>
      <x:c r="F71" t="str">
        <x:v>Run full pytest and Ruff checks</x:v>
      </x:c>
      <x:c r="G71" t="str">
        <x:v>All Phase 00-04 tests and lint pass</x:v>
      </x:c>
      <x:c r="H71" t="str">
        <x:v>Automated</x:v>
      </x:c>
      <x:c r="I71" t="str">
        <x:v>pytest -q; ruff check api migrations tests</x:v>
      </x:c>
      <x:c r="J71" t="str">
        <x:v>Critical</x:v>
      </x:c>
      <x:c r="K71" t="str">
        <x:v>Passed</x:v>
      </x:c>
      <x:c r="L71" t="str">
        <x:v>Yes</x:v>
      </x:c>
      <x:c r="M71" t="str">
        <x:v>64 passed, 1 warning; Ruff passed on 2026-09-23</x:v>
      </x:c>
    </x:row>
    <x:row r="72">
      <x:c r="A72" t="str">
        <x:v>TC-P04-007</x:v>
      </x:c>
      <x:c r="B72" t="str">
        <x:v>P04</x:v>
      </x:c>
      <x:c r="C72" t="str">
        <x:v>Document regression within current full suite</x:v>
      </x:c>
      <x:c r="D72" t="str">
        <x:v>Automated</x:v>
      </x:c>
      <x:c r="E72" t="str">
        <x:v>Docker PostgreSQL, isolated test storage and local MinIO stack</x:v>
      </x:c>
      <x:c r="F72" t="str">
        <x:v>Run full backend regression and rebuild the API container</x:v>
      </x:c>
      <x:c r="G72" t="str">
        <x:v>Document lifecycle and requirement tests remain green; rebuilt API reports ready</x:v>
      </x:c>
      <x:c r="H72" t="str">
        <x:v>Automated</x:v>
      </x:c>
      <x:c r="I72" t="str">
        <x:v>pytest -q; docker compose up -d --build app; GET /readyz</x:v>
      </x:c>
      <x:c r="J72" t="str">
        <x:v>Critical</x:v>
      </x:c>
      <x:c r="K72" t="str">
        <x:v>Passed</x:v>
      </x:c>
      <x:c r="L72" t="str">
        <x:v>Yes</x:v>
      </x:c>
      <x:c r="M72" t="str">
        <x:v>72-test suite passed and local API container is healthy</x:v>
      </x:c>
    </x:row>
    <x:row r="73">
      <x:c r="A73" t="str">
        <x:v>TC-P04-008</x:v>
      </x:c>
      <x:c r="B73" t="str">
        <x:v>P04</x:v>
      </x:c>
      <x:c r="C73" t="str">
        <x:v>General Payment conditional BIR 2303 requirement</x:v>
      </x:c>
      <x:c r="D73" t="str">
        <x:v>Business Rule</x:v>
      </x:c>
      <x:c r="E73" t="str">
        <x:v>Seeded General Payment requirement rules in dedicated Docker test database</x:v>
      </x:c>
      <x:c r="F73" t="str">
        <x:v>Compare existing-supplier and new-supplier requirement evaluations and inspect the API requirement response</x:v>
      </x:c>
      <x:c r="G73" t="str">
        <x:v>Billing / SOA / Quotation is required for both; BIR 2303 is additionally required only for a new supplier</x:v>
      </x:c>
      <x:c r="H73" t="str">
        <x:v>Automated</x:v>
      </x:c>
      <x:c r="I73" t="str">
        <x:v>pytest -q tests/test_documents.py</x:v>
      </x:c>
      <x:c r="J73" t="str">
        <x:v>Critical</x:v>
      </x:c>
      <x:c r="K73" t="str">
        <x:v>Passed</x:v>
      </x:c>
      <x:c r="L73" t="str">
        <x:v>Yes</x:v>
      </x:c>
      <x:c r="M73" t="str">
        <x:v>Dynamic required flag and submission gate verified; complete backend suite is 73 passed</x:v>
      </x:c>
    </x:row>
    <x:row r="74">
      <x:c r="A74" t="str">
        <x:v>TC-P04-009</x:v>
      </x:c>
      <x:c r="B74" t="str">
        <x:v>P04</x:v>
      </x:c>
      <x:c r="C74" t="str">
        <x:v>Unified upload controls and responsive frontend closeout</x:v>
      </x:c>
      <x:c r="D74" t="str">
        <x:v>Build</x:v>
      </x:c>
      <x:c r="E74" t="str">
        <x:v>Current active prototype, React parity view and responsive styles</x:v>
      </x:c>
      <x:c r="F74" t="str">
        <x:v>Run JavaScript syntax, diff checks and the TypeScript/Vite production build</x:v>
      </x:c>
      <x:c r="G74" t="str">
        <x:v>All upload fields use the shared accessible icon pattern; filename and document-state information remain visible; production build completes</x:v>
      </x:c>
      <x:c r="H74" t="str">
        <x:v>Automated</x:v>
      </x:c>
      <x:c r="I74" t="str">
        <x:v>node --check src/prototype.js; git diff --check; pnpm build</x:v>
      </x:c>
      <x:c r="J74" t="str">
        <x:v>High</x:v>
      </x:c>
      <x:c r="K74" t="str">
        <x:v>Passed</x:v>
      </x:c>
      <x:c r="L74" t="str">
        <x:v>Yes</x:v>
      </x:c>
      <x:c r="M74" t="str">
        <x:v>Request-level, line-level, add, replace, single-file and multiple-file cases use one responsive upload pattern</x:v>
      </x:c>
    </x:row>
    <x:row r="75" ht="15" hidden="0" customHeight="1">
      <x:c r="A75" t="str">
        <x:v>TC-P04-010</x:v>
      </x:c>
      <x:c r="B75" t="str">
        <x:v>P04</x:v>
      </x:c>
      <x:c r="C75" t="str">
        <x:v>Per-line Reimbursement Proof of Payment browser acceptance</x:v>
      </x:c>
      <x:c r="D75" t="str">
        <x:v>UI Integration</x:v>
      </x:c>
      <x:c r="E75" t="str">
        <x:v>Docker PostgreSQL 16, MinIO, seeded document rules and a two-line Reimbursement draft</x:v>
      </x:c>
      <x:c r="F75" t="str">
        <x:v>Open the API-backed document workspace, upload a different Proof of Payment to each line, verify that no request-level Invoice or Billing / Quotation / SOA rule appears, inspect persisted requirements and submit</x:v>
      </x:c>
      <x:c r="G75" t="str">
        <x:v>Each line displays and accepts its own required Proof of Payment; one line cannot satisfy another; no request-level reimbursement document is required; the complete request submits successfully</x:v>
      </x:c>
      <x:c r="H75" t="str">
        <x:v>Automated</x:v>
      </x:c>
      <x:c r="I75" t="str">
        <x:v>pnpm test:e2e -- tests/e2e/phase-04-documents.spec.js</x:v>
      </x:c>
      <x:c r="J75" t="str">
        <x:v>Critical</x:v>
      </x:c>
      <x:c r="K75" t="str">
        <x:v>Passed</x:v>
      </x:c>
      <x:c r="L75" t="str">
        <x:v>Yes</x:v>
      </x:c>
      <x:c r="M75" t="str">
        <x:v>Google Chrome click-through against disposable Docker services; both Phase 04 scenarios passed</x:v>
      </x:c>
    </x:row>
    <x:row r="76">
      <x:c r="A76" t="str">
        <x:v>TC-P01-020</x:v>
      </x:c>
      <x:c r="B76" t="str">
        <x:v>P01</x:v>
      </x:c>
      <x:c r="C76" t="str">
        <x:v>Current authentication and RBAC closeout</x:v>
      </x:c>
      <x:c r="D76" t="str">
        <x:v>UI Integration</x:v>
      </x:c>
      <x:c r="E76" t="str">
        <x:v>Rebuilt local API and synchronized deterministic seed</x:v>
      </x:c>
      <x:c r="F76" t="str">
        <x:v>Sign in as Requestor, Department Head, Finance Associate, Finance Manager and System Administrator; open role-scoped pages and identity forms</x:v>
      </x:c>
      <x:c r="G76" t="str">
        <x:v>All accounts authenticate; role navigation and controls match permissions; no API error appears</x:v>
      </x:c>
      <x:c r="H76" t="str">
        <x:v>Manual + Automated</x:v>
      </x:c>
      <x:c r="I76" t="str">
        <x:v>http://127.0.0.1:5175/#/login; pytest -q</x:v>
      </x:c>
      <x:c r="J76" t="str">
        <x:v>Critical</x:v>
      </x:c>
      <x:c r="K76" t="str">
        <x:v>Passed</x:v>
      </x:c>
      <x:c r="L76" t="str">
        <x:v>Yes</x:v>
      </x:c>
      <x:c r="M76" t="str">
        <x:v>Browser walkthrough and isolated backend regression on 2026-10-07</x:v>
      </x:c>
    </x:row>
    <x:row r="77">
      <x:c r="A77" t="str">
        <x:v>TC-P02-010</x:v>
      </x:c>
      <x:c r="B77" t="str">
        <x:v>P02</x:v>
      </x:c>
      <x:c r="C77" t="str">
        <x:v>Master Data functional closeout</x:v>
      </x:c>
      <x:c r="D77" t="str">
        <x:v>UI Integration</x:v>
      </x:c>
      <x:c r="E77" t="str">
        <x:v>Finance Manager and System Administrator accounts; API-connected frontend</x:v>
      </x:c>
      <x:c r="F77" t="str">
        <x:v>Open all seven Master Data views and the applicable add forms; verify read-only vendor behavior, role controls and page overflow</x:v>
      </x:c>
      <x:c r="G77" t="str">
        <x:v>Lists render without fetch errors or horizontal overflow; editable forms open; Vendors remains external/read-only</x:v>
      </x:c>
      <x:c r="H77" t="str">
        <x:v>Manual + Automated</x:v>
      </x:c>
      <x:c r="I77" t="str">
        <x:v>#/master-data/*; pytest -q; pnpm test:e2e</x:v>
      </x:c>
      <x:c r="J77" t="str">
        <x:v>Critical</x:v>
      </x:c>
      <x:c r="K77" t="str">
        <x:v>Passed</x:v>
      </x:c>
      <x:c r="L77" t="str">
        <x:v>Yes</x:v>
      </x:c>
      <x:c r="M77" t="str">
        <x:v>Browser-first validation and 99-test regression on 2026-10-07</x:v>
      </x:c>
    </x:row>
    <x:row r="78">
      <x:c r="A78" t="str">
        <x:v>TC-P03-039</x:v>
      </x:c>
      <x:c r="B78" t="str">
        <x:v>P03</x:v>
      </x:c>
      <x:c r="C78" t="str">
        <x:v>Complete request and database closeout regression</x:v>
      </x:c>
      <x:c r="D78" t="str">
        <x:v>Integration</x:v>
      </x:c>
      <x:c r="E78" t="str">
        <x:v>Disposable PostgreSQL 16 database</x:v>
      </x:c>
      <x:c r="F78" t="str">
        <x:v>Upgrade from base to head, seed, downgrade to base, replay to head, seed and run the complete backend suite with coverage</x:v>
      </x:c>
      <x:c r="G78" t="str">
        <x:v>Migration chain is reversible and deterministic; all request, concurrency and lifecycle tests pass</x:v>
      </x:c>
      <x:c r="H78" t="str">
        <x:v>Automated</x:v>
      </x:c>
      <x:c r="I78" t="str">
        <x:v>alembic upgrade/downgrade; pytest --cov=payment_module</x:v>
      </x:c>
      <x:c r="J78" t="str">
        <x:v>Critical</x:v>
      </x:c>
      <x:c r="K78" t="str">
        <x:v>Passed</x:v>
      </x:c>
      <x:c r="L78" t="str">
        <x:v>Yes</x:v>
      </x:c>
      <x:c r="M78" t="str">
        <x:v>99 passed, 1 warning, 90% coverage in 322.71 seconds</x:v>
      </x:c>
    </x:row>
    <x:row r="79">
      <x:c r="A79" t="str">
        <x:v>TC-P04-011</x:v>
      </x:c>
      <x:c r="B79" t="str">
        <x:v>P04</x:v>
      </x:c>
      <x:c r="C79" t="str">
        <x:v>Complete headed document and responsive browser closeout</x:v>
      </x:c>
      <x:c r="D79" t="str">
        <x:v>UI Integration</x:v>
      </x:c>
      <x:c r="E79" t="str">
        <x:v>Disposable Docker PostgreSQL/MinIO browser-test environment</x:v>
      </x:c>
      <x:c r="F79" t="str">
        <x:v>Run all lifecycle, document, settings, formatting and current-device Playwright suites</x:v>
      </x:c>
      <x:c r="G79" t="str">
        <x:v>All six headed Google Chrome scenarios pass with persisted API records</x:v>
      </x:c>
      <x:c r="H79" t="str">
        <x:v>Automated</x:v>
      </x:c>
      <x:c r="I79" t="str">
        <x:v>pnpm test:e2e</x:v>
      </x:c>
      <x:c r="J79" t="str">
        <x:v>Critical</x:v>
      </x:c>
      <x:c r="K79" t="str">
        <x:v>Passed</x:v>
      </x:c>
      <x:c r="L79" t="str">
        <x:v>Yes</x:v>
      </x:c>
      <x:c r="M79" t="str">
        <x:v>Six suites passed in 1.5 minutes on 2026-10-07</x:v>
      </x:c>
    </x:row>
    <x:row r="80">
      <x:c r="A80" t="str">
        <x:v>TC-XPH-001</x:v>
      </x:c>
      <x:c r="B80" t="str">
        <x:v>P01-P04</x:v>
      </x:c>
      <x:c r="C80" t="str">
        <x:v>Dependency security and production build closeout</x:v>
      </x:c>
      <x:c r="D80" t="str">
        <x:v>Security / Build</x:v>
      </x:c>
      <x:c r="E80" t="str">
        <x:v>Current locked frontend and backend dependencies</x:v>
      </x:c>
      <x:c r="F80" t="str">
        <x:v>Run Ruff, pnpm audit, pip-audit, TypeScript and Vite production build</x:v>
      </x:c>
      <x:c r="G80" t="str">
        <x:v>No lint errors or known dependency vulnerabilities; production bundle builds</x:v>
      </x:c>
      <x:c r="H80" t="str">
        <x:v>Automated</x:v>
      </x:c>
      <x:c r="I80" t="str">
        <x:v>ruff check; pnpm audit --audit-level high; pip-audit; pnpm build</x:v>
      </x:c>
      <x:c r="J80" t="str">
        <x:v>Critical</x:v>
      </x:c>
      <x:c r="K80" t="str">
        <x:v>Passed</x:v>
      </x:c>
      <x:c r="L80" t="str">
        <x:v>Yes</x:v>
      </x:c>
      <x:c r="M80" t="str">
        <x:v>Patched source-map-js to 1.2.2; both audits and build passed</x:v>
      </x:c>
    </x:row>
    <x:row r="81">
      <x:c r="A81" t="str">
        <x:v>TC-XPH-002</x:v>
      </x:c>
      <x:c r="B81" t="str">
        <x:v>P01-P04</x:v>
      </x:c>
      <x:c r="C81" t="str">
        <x:v>Current iPhone and Samsung responsive regression</x:v>
      </x:c>
      <x:c r="D81" t="str">
        <x:v>Responsive UI</x:v>
      </x:c>
      <x:c r="E81" t="str">
        <x:v>Finance Manager authenticated in API-connected build</x:v>
      </x:c>
      <x:c r="F81" t="str">
        <x:v>Run dashboard, tracker, approvals, settings and navigation checks across 10 representative portrait/landscape viewports</x:v>
      </x:c>
      <x:c r="G81" t="str">
        <x:v>No document or main-content overflow; navigation, cards, tables and administration controls remain usable</x:v>
      </x:c>
      <x:c r="H81" t="str">
        <x:v>Automated</x:v>
      </x:c>
      <x:c r="I81" t="str">
        <x:v>pnpm test:e2e -- tests/e2e/responsive-current-devices.spec.js</x:v>
      </x:c>
      <x:c r="J81" t="str">
        <x:v>High</x:v>
      </x:c>
      <x:c r="K81" t="str">
        <x:v>Passed</x:v>
      </x:c>
      <x:c r="L81" t="str">
        <x:v>Yes</x:v>
      </x:c>
      <x:c r="M81" t="str">
        <x:v>40 route/viewport combinations plus navigation and breakpoint assertions passed</x:v>
      </x:c>
    </x:row>
  </x:sheetData>
  <x:mergeCells>
    <x:mergeCell ref="A1:M1"/>
    <x:mergeCell ref="A2:M2"/>
  </x:mergeCells>
  <x:conditionalFormatting sqref="K4:K300">
    <x:cfRule type="containsText" dxfId="21" priority="1" operator="containsText" text="Passed"/>
    <x:cfRule type="containsText" dxfId="22" priority="2" operator="containsText" text="Validated"/>
    <x:cfRule type="containsText" dxfId="23" priority="3" operator="containsText" text="Accepted"/>
    <x:cfRule type="containsText" dxfId="24" priority="4" operator="containsText" text="Failed"/>
    <x:cfRule type="containsText" dxfId="25" priority="5" operator="containsText" text="Blocked"/>
    <x:cfRule type="containsText" dxfId="26" priority="6" operator="containsText" text="Not Run"/>
    <x:cfRule type="containsText" dxfId="27" priority="7" operator="containsText" text="Pending"/>
  </x:conditionalFormatting>
  <x:dataValidations count="3">
    <x:dataValidation type="list" sqref="J4:J300">
      <x:formula1>"Critical,High,Medium,Low"</x:formula1>
    </x:dataValidation>
    <x:dataValidation type="list" sqref="K4:K300">
      <x:formula1>"Not Run,Passed,Failed,Blocked,N/A"</x:formula1>
    </x:dataValidation>
    <x:dataValidation type="list" sqref="L4:L3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334fe1f3184d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  <x:col min="9" max="9" width="22" hidden="0" customWidth="1"/>
    <x:col min="10" max="10" width="14" hidden="0" customWidth="1"/>
    <x:col min="11" max="11" width="14" hidden="0" customWidth="1"/>
    <x:col min="12" max="12" width="44" hidden="0" customWidth="1"/>
  </x:cols>
  <x:sheetData>
    <x:row r="1" ht="21.600000381469727" hidden="0" customHeight="1">
      <x:c r="A1" s="3" t="str">
        <x:v>Test Execution History</x:v>
      </x:c>
    </x:row>
    <x:row r="2" ht="15" hidden="0" customHeight="1">
      <x:c r="A2" s="6" t="str">
        <x:v>Append-only history of test runs, actual results, defects and retest requirements.</x:v>
      </x:c>
    </x:row>
    <x:row r="3" ht="26.399999618530273" hidden="0" customHeight="1">
      <x:c r="A3" s="13" t="str">
        <x:v>Run ID</x:v>
      </x:c>
      <x:c r="B3" s="36" t="str">
        <x:v>Test ID</x:v>
      </x:c>
      <x:c r="C3" s="36" t="str">
        <x:v>Run Date</x:v>
      </x:c>
      <x:c r="D3" s="36" t="str">
        <x:v>Environment</x:v>
      </x:c>
      <x:c r="E3" s="36" t="str">
        <x:v>Build / Commit</x:v>
      </x:c>
      <x:c r="F3" s="36" t="str">
        <x:v>Execution Status</x:v>
      </x:c>
      <x:c r="G3" s="36" t="str">
        <x:v>Result</x:v>
      </x:c>
      <x:c r="H3" s="36" t="str">
        <x:v>Actual Result</x:v>
      </x:c>
      <x:c r="I3" s="36" t="str">
        <x:v>Executed By</x:v>
      </x:c>
      <x:c r="J3" s="36" t="str">
        <x:v>Defect ID</x:v>
      </x:c>
      <x:c r="K3" s="36" t="str">
        <x:v>Retest</x:v>
      </x:c>
      <x:c r="L3" s="14" t="str">
        <x:v>Notes</x:v>
      </x:c>
    </x:row>
    <x:row r="4" ht="60" hidden="0" customHeight="1">
      <x:c r="A4" s="22" t="str">
        <x:v>RUN-20260825-001</x:v>
      </x:c>
      <x:c r="B4" s="22" t="str">
        <x:v>TC-P00-001</x:v>
      </x:c>
      <x:c r="C4" s="37" t="n">
        <x:v>46259</x:v>
      </x:c>
      <x:c r="D4" s="22" t="str">
        <x:v>Local WSL2 / Docker Desktop / PostgreSQL 16</x:v>
      </x:c>
      <x:c r="E4" s="22" t="str">
        <x:v>4ddd199</x:v>
      </x:c>
      <x:c r="F4" s="22" t="str">
        <x:v>Executed</x:v>
      </x:c>
      <x:c r="G4" s="22" t="str">
        <x:v>Passed</x:v>
      </x:c>
      <x:c r="H4" s="22" t="str">
        <x:v>Local run 2026-08-25</x:v>
      </x:c>
      <x:c r="I4" s="22" t="str">
        <x:v>Codex local audit</x:v>
      </x:c>
      <x:c r="J4" s="22"/>
      <x:c r="K4" s="22" t="str">
        <x:v>No</x:v>
      </x:c>
      <x:c r="L4" s="22" t="str">
        <x:v>Evidence recorded in docs/phase-00-validation.md</x:v>
      </x:c>
    </x:row>
    <x:row r="5" ht="60" hidden="0" customHeight="1">
      <x:c r="A5" s="23" t="str">
        <x:v>RUN-20260825-002</x:v>
      </x:c>
      <x:c r="B5" s="23" t="str">
        <x:v>TC-P00-002</x:v>
      </x:c>
      <x:c r="C5" s="38" t="n">
        <x:v>46259</x:v>
      </x:c>
      <x:c r="D5" s="23" t="str">
        <x:v>Local WSL2 / Docker Desktop / PostgreSQL 16</x:v>
      </x:c>
      <x:c r="E5" s="23" t="str">
        <x:v>4ddd199</x:v>
      </x:c>
      <x:c r="F5" s="23" t="str">
        <x:v>Executed</x:v>
      </x:c>
      <x:c r="G5" s="23" t="str">
        <x:v>Passed</x:v>
      </x:c>
      <x:c r="H5" s="23" t="str">
        <x:v>Local Docker run 2026-08-25</x:v>
      </x:c>
      <x:c r="I5" s="23" t="str">
        <x:v>Codex local audit</x:v>
      </x:c>
      <x:c r="J5" s="23"/>
      <x:c r="K5" s="23" t="str">
        <x:v>No</x:v>
      </x:c>
      <x:c r="L5" s="23" t="str">
        <x:v>Evidence recorded in docs/phase-00-validation.md</x:v>
      </x:c>
    </x:row>
    <x:row r="6" ht="60" hidden="0" customHeight="1">
      <x:c r="A6" s="23" t="str">
        <x:v>RUN-20260825-003</x:v>
      </x:c>
      <x:c r="B6" s="23" t="str">
        <x:v>TC-P00-003</x:v>
      </x:c>
      <x:c r="C6" s="38" t="n">
        <x:v>46259</x:v>
      </x:c>
      <x:c r="D6" s="23" t="str">
        <x:v>Local WSL2 / Docker Desktop / PostgreSQL 16</x:v>
      </x:c>
      <x:c r="E6" s="23" t="str">
        <x:v>4ddd199</x:v>
      </x:c>
      <x:c r="F6" s="23" t="str">
        <x:v>Executed</x:v>
      </x:c>
      <x:c r="G6" s="23" t="str">
        <x:v>Passed</x:v>
      </x:c>
      <x:c r="H6" s="23" t="str">
        <x:v>Local run 2026-08-25</x:v>
      </x:c>
      <x:c r="I6" s="23" t="str">
        <x:v>Codex local audit</x:v>
      </x:c>
      <x:c r="J6" s="23"/>
      <x:c r="K6" s="23" t="str">
        <x:v>No</x:v>
      </x:c>
      <x:c r="L6" s="23" t="str">
        <x:v>Evidence recorded in docs/phase-00-validation.md</x:v>
      </x:c>
    </x:row>
    <x:row r="7" ht="60" hidden="0" customHeight="1">
      <x:c r="A7" s="23" t="str">
        <x:v>RUN-20260825-004</x:v>
      </x:c>
      <x:c r="B7" s="23" t="str">
        <x:v>TC-P00-004</x:v>
      </x:c>
      <x:c r="C7" s="38" t="n">
        <x:v>46259</x:v>
      </x:c>
      <x:c r="D7" s="23" t="str">
        <x:v>Local WSL2 / Docker Desktop / PostgreSQL 16</x:v>
      </x:c>
      <x:c r="E7" s="23" t="str">
        <x:v>4ddd199</x:v>
      </x:c>
      <x:c r="F7" s="23" t="str">
        <x:v>Executed</x:v>
      </x:c>
      <x:c r="G7" s="23" t="str">
        <x:v>Passed</x:v>
      </x:c>
      <x:c r="H7" s="23" t="str">
        <x:v>Local Docker run 2026-08-25</x:v>
      </x:c>
      <x:c r="I7" s="23" t="str">
        <x:v>Codex local audit</x:v>
      </x:c>
      <x:c r="J7" s="23"/>
      <x:c r="K7" s="23" t="str">
        <x:v>No</x:v>
      </x:c>
      <x:c r="L7" s="23" t="str">
        <x:v>Evidence recorded in docs/phase-00-validation.md</x:v>
      </x:c>
    </x:row>
    <x:row r="8" ht="60" hidden="0" customHeight="1">
      <x:c r="A8" s="23" t="str">
        <x:v>RUN-20260825-005</x:v>
      </x:c>
      <x:c r="B8" s="23" t="str">
        <x:v>TC-P00-005</x:v>
      </x:c>
      <x:c r="C8" s="38" t="n">
        <x:v>46259</x:v>
      </x:c>
      <x:c r="D8" s="23" t="str">
        <x:v>Local WSL2 / Docker Desktop / PostgreSQL 16</x:v>
      </x:c>
      <x:c r="E8" s="23" t="str">
        <x:v>4ddd199</x:v>
      </x:c>
      <x:c r="F8" s="23" t="str">
        <x:v>Executed</x:v>
      </x:c>
      <x:c r="G8" s="23" t="str">
        <x:v>Passed</x:v>
      </x:c>
      <x:c r="H8" s="23" t="str">
        <x:v>Local run 2026-08-25</x:v>
      </x:c>
      <x:c r="I8" s="23" t="str">
        <x:v>Codex local audit</x:v>
      </x:c>
      <x:c r="J8" s="23"/>
      <x:c r="K8" s="23" t="str">
        <x:v>No</x:v>
      </x:c>
      <x:c r="L8" s="23" t="str">
        <x:v>Evidence recorded in docs/phase-00-validation.md</x:v>
      </x:c>
    </x:row>
    <x:row r="9" ht="72" hidden="0" customHeight="1">
      <x:c r="A9" s="23" t="str">
        <x:v>RUN-20260825-006</x:v>
      </x:c>
      <x:c r="B9" s="23" t="str">
        <x:v>TC-P00-006</x:v>
      </x:c>
      <x:c r="C9" s="38" t="n">
        <x:v>46259</x:v>
      </x:c>
      <x:c r="D9" s="23" t="str">
        <x:v>Local WSL2 / Docker Desktop / PostgreSQL 16</x:v>
      </x:c>
      <x:c r="E9" s="23" t="str">
        <x:v>4ddd199</x:v>
      </x:c>
      <x:c r="F9" s="23" t="str">
        <x:v>Executed</x:v>
      </x:c>
      <x:c r="G9" s="23" t="str">
        <x:v>Passed</x:v>
      </x:c>
      <x:c r="H9" s="23" t="str">
        <x:v>Supplied phase-00-propagation-test returned unchanged</x:v>
      </x:c>
      <x:c r="I9" s="23" t="str">
        <x:v>Codex local audit</x:v>
      </x:c>
      <x:c r="J9" s="23"/>
      <x:c r="K9" s="23" t="str">
        <x:v>No</x:v>
      </x:c>
      <x:c r="L9" s="23" t="str">
        <x:v>Evidence recorded in docs/phase-00-validation.md</x:v>
      </x:c>
    </x:row>
    <x:row r="10" ht="60" hidden="0" customHeight="1">
      <x:c r="A10" s="23" t="str">
        <x:v>RUN-20260825-007</x:v>
      </x:c>
      <x:c r="B10" s="23" t="str">
        <x:v>TC-P00-007</x:v>
      </x:c>
      <x:c r="C10" s="38" t="n">
        <x:v>46259</x:v>
      </x:c>
      <x:c r="D10" s="23" t="str">
        <x:v>Local WSL2 / Docker Desktop / PostgreSQL 16</x:v>
      </x:c>
      <x:c r="E10" s="23" t="str">
        <x:v>4ddd199</x:v>
      </x:c>
      <x:c r="F10" s="23" t="str">
        <x:v>Executed</x:v>
      </x:c>
      <x:c r="G10" s="23" t="str">
        <x:v>Passed</x:v>
      </x:c>
      <x:c r="H10" s="23" t="str">
        <x:v>Local run 2026-08-25</x:v>
      </x:c>
      <x:c r="I10" s="23" t="str">
        <x:v>Codex local audit</x:v>
      </x:c>
      <x:c r="J10" s="23"/>
      <x:c r="K10" s="23" t="str">
        <x:v>No</x:v>
      </x:c>
      <x:c r="L10" s="23" t="str">
        <x:v>Evidence recorded in docs/phase-00-validation.md</x:v>
      </x:c>
    </x:row>
    <x:row r="11" ht="60" hidden="0" customHeight="1">
      <x:c r="A11" s="23" t="str">
        <x:v>RUN-20260825-008</x:v>
      </x:c>
      <x:c r="B11" s="23" t="str">
        <x:v>TC-P00-008</x:v>
      </x:c>
      <x:c r="C11" s="38" t="n">
        <x:v>46259</x:v>
      </x:c>
      <x:c r="D11" s="23" t="str">
        <x:v>Local WSL2 / Docker Desktop / PostgreSQL 16</x:v>
      </x:c>
      <x:c r="E11" s="23" t="str">
        <x:v>4ddd199</x:v>
      </x:c>
      <x:c r="F11" s="23" t="str">
        <x:v>Executed</x:v>
      </x:c>
      <x:c r="G11" s="23" t="str">
        <x:v>Passed</x:v>
      </x:c>
      <x:c r="H11" s="23" t="str">
        <x:v>Local run 2026-08-25</x:v>
      </x:c>
      <x:c r="I11" s="23" t="str">
        <x:v>Codex local audit</x:v>
      </x:c>
      <x:c r="J11" s="23"/>
      <x:c r="K11" s="23" t="str">
        <x:v>No</x:v>
      </x:c>
      <x:c r="L11" s="23" t="str">
        <x:v>Evidence recorded in docs/phase-00-validation.md</x:v>
      </x:c>
    </x:row>
    <x:row r="12" ht="60" hidden="0" customHeight="1">
      <x:c r="A12" s="23" t="str">
        <x:v>RUN-20260825-009</x:v>
      </x:c>
      <x:c r="B12" s="23" t="str">
        <x:v>TC-P00-009</x:v>
      </x:c>
      <x:c r="C12" s="38" t="n">
        <x:v>46259</x:v>
      </x:c>
      <x:c r="D12" s="23" t="str">
        <x:v>Local WSL2 / Docker Desktop / PostgreSQL 16</x:v>
      </x:c>
      <x:c r="E12" s="23" t="str">
        <x:v>4ddd199</x:v>
      </x:c>
      <x:c r="F12" s="23" t="str">
        <x:v>Executed</x:v>
      </x:c>
      <x:c r="G12" s="23" t="str">
        <x:v>Passed</x:v>
      </x:c>
      <x:c r="H12" s="23" t="str">
        <x:v>Local run 2026-08-25</x:v>
      </x:c>
      <x:c r="I12" s="23" t="str">
        <x:v>Codex local audit</x:v>
      </x:c>
      <x:c r="J12" s="23"/>
      <x:c r="K12" s="23" t="str">
        <x:v>No</x:v>
      </x:c>
      <x:c r="L12" s="23" t="str">
        <x:v>Evidence recorded in docs/phase-00-validation.md</x:v>
      </x:c>
    </x:row>
    <x:row r="13" ht="60" hidden="0" customHeight="1">
      <x:c r="A13" s="23" t="str">
        <x:v>RUN-20260825-010</x:v>
      </x:c>
      <x:c r="B13" s="23" t="str">
        <x:v>TC-P00-010</x:v>
      </x:c>
      <x:c r="C13" s="38" t="n">
        <x:v>46259</x:v>
      </x:c>
      <x:c r="D13" s="23" t="str">
        <x:v>Local WSL2 / Docker Desktop / PostgreSQL 16</x:v>
      </x:c>
      <x:c r="E13" s="23" t="str">
        <x:v>4ddd199</x:v>
      </x:c>
      <x:c r="F13" s="23" t="str">
        <x:v>Executed</x:v>
      </x:c>
      <x:c r="G13" s="23" t="str">
        <x:v>Passed</x:v>
      </x:c>
      <x:c r="H13" s="23" t="str">
        <x:v>Local run 2026-08-25</x:v>
      </x:c>
      <x:c r="I13" s="23" t="str">
        <x:v>Codex local audit</x:v>
      </x:c>
      <x:c r="J13" s="23"/>
      <x:c r="K13" s="23" t="str">
        <x:v>No</x:v>
      </x:c>
      <x:c r="L13" s="23" t="str">
        <x:v>Evidence recorded in docs/phase-00-validation.md</x:v>
      </x:c>
    </x:row>
    <x:row r="14" ht="60" hidden="0" customHeight="1">
      <x:c r="A14" s="23" t="str">
        <x:v>RUN-20260825-011</x:v>
      </x:c>
      <x:c r="B14" s="23" t="str">
        <x:v>TC-P00-011</x:v>
      </x:c>
      <x:c r="C14" s="38" t="n">
        <x:v>46259</x:v>
      </x:c>
      <x:c r="D14" s="23" t="str">
        <x:v>Local WSL2 / Docker Desktop / PostgreSQL 16</x:v>
      </x:c>
      <x:c r="E14" s="23" t="str">
        <x:v>4ddd199</x:v>
      </x:c>
      <x:c r="F14" s="23" t="str">
        <x:v>Executed</x:v>
      </x:c>
      <x:c r="G14" s="23" t="str">
        <x:v>Passed</x:v>
      </x:c>
      <x:c r="H14" s="23" t="str">
        <x:v>Local run 2026-08-25</x:v>
      </x:c>
      <x:c r="I14" s="23" t="str">
        <x:v>Codex local audit</x:v>
      </x:c>
      <x:c r="J14" s="23"/>
      <x:c r="K14" s="23" t="str">
        <x:v>No</x:v>
      </x:c>
      <x:c r="L14" s="23" t="str">
        <x:v>Evidence recorded in docs/phase-00-validation.md</x:v>
      </x:c>
    </x:row>
    <x:row r="15" ht="60" hidden="0" customHeight="1">
      <x:c r="A15" s="23" t="str">
        <x:v>RUN-20260825-012</x:v>
      </x:c>
      <x:c r="B15" s="23" t="str">
        <x:v>TC-P00-012</x:v>
      </x:c>
      <x:c r="C15" s="38" t="n">
        <x:v>46259</x:v>
      </x:c>
      <x:c r="D15" s="23" t="str">
        <x:v>Local WSL2 / Docker Desktop / PostgreSQL 16</x:v>
      </x:c>
      <x:c r="E15" s="23" t="str">
        <x:v>4ddd199</x:v>
      </x:c>
      <x:c r="F15" s="23" t="str">
        <x:v>Executed</x:v>
      </x:c>
      <x:c r="G15" s="23" t="str">
        <x:v>Passed</x:v>
      </x:c>
      <x:c r="H15" s="23" t="str">
        <x:v>Local run 2026-08-25</x:v>
      </x:c>
      <x:c r="I15" s="23" t="str">
        <x:v>Codex local audit</x:v>
      </x:c>
      <x:c r="J15" s="23"/>
      <x:c r="K15" s="23" t="str">
        <x:v>No</x:v>
      </x:c>
      <x:c r="L15" s="23" t="str">
        <x:v>Evidence recorded in docs/phase-00-validation.md</x:v>
      </x:c>
    </x:row>
    <x:row r="16" ht="60" hidden="0" customHeight="1">
      <x:c r="A16" s="23" t="str">
        <x:v>RUN-20260825-013</x:v>
      </x:c>
      <x:c r="B16" s="23" t="str">
        <x:v>TC-P00-013</x:v>
      </x:c>
      <x:c r="C16" s="38" t="n">
        <x:v>46259</x:v>
      </x:c>
      <x:c r="D16" s="23" t="str">
        <x:v>Local WSL2 / Docker Desktop / PostgreSQL 16</x:v>
      </x:c>
      <x:c r="E16" s="23" t="str">
        <x:v>4ddd199</x:v>
      </x:c>
      <x:c r="F16" s="23" t="str">
        <x:v>Executed</x:v>
      </x:c>
      <x:c r="G16" s="23" t="str">
        <x:v>Passed</x:v>
      </x:c>
      <x:c r="H16" s="23" t="str">
        <x:v>Local run 2026-08-25</x:v>
      </x:c>
      <x:c r="I16" s="23" t="str">
        <x:v>Codex local audit</x:v>
      </x:c>
      <x:c r="J16" s="23"/>
      <x:c r="K16" s="23" t="str">
        <x:v>No</x:v>
      </x:c>
      <x:c r="L16" s="23" t="str">
        <x:v>Evidence recorded in docs/phase-00-validation.md</x:v>
      </x:c>
    </x:row>
    <x:row r="17" ht="60" hidden="0" customHeight="1">
      <x:c r="A17" s="23" t="str">
        <x:v>RUN-20260825-014</x:v>
      </x:c>
      <x:c r="B17" s="23" t="str">
        <x:v>TC-P00-014</x:v>
      </x:c>
      <x:c r="C17" s="38" t="n">
        <x:v>46259</x:v>
      </x:c>
      <x:c r="D17" s="23" t="str">
        <x:v>Local WSL2 / Docker Desktop / PostgreSQL 16</x:v>
      </x:c>
      <x:c r="E17" s="23" t="str">
        <x:v>4ddd199</x:v>
      </x:c>
      <x:c r="F17" s="23" t="str">
        <x:v>Executed</x:v>
      </x:c>
      <x:c r="G17" s="23" t="str">
        <x:v>Passed</x:v>
      </x:c>
      <x:c r="H17" s="23" t="str">
        <x:v>6 passed; 89% coverage</x:v>
      </x:c>
      <x:c r="I17" s="23" t="str">
        <x:v>Codex local audit</x:v>
      </x:c>
      <x:c r="J17" s="23"/>
      <x:c r="K17" s="23" t="str">
        <x:v>No</x:v>
      </x:c>
      <x:c r="L17" s="23" t="str">
        <x:v>Evidence recorded in docs/phase-00-validation.md</x:v>
      </x:c>
    </x:row>
    <x:row r="18" ht="60" hidden="0" customHeight="1">
      <x:c r="A18" s="23" t="str">
        <x:v>RUN-20260825-015</x:v>
      </x:c>
      <x:c r="B18" s="23" t="str">
        <x:v>TC-P00-015</x:v>
      </x:c>
      <x:c r="C18" s="38" t="n">
        <x:v>46259</x:v>
      </x:c>
      <x:c r="D18" s="23" t="str">
        <x:v>Local WSL2 / Docker Desktop / PostgreSQL 16</x:v>
      </x:c>
      <x:c r="E18" s="23" t="str">
        <x:v>4ddd199</x:v>
      </x:c>
      <x:c r="F18" s="23" t="str">
        <x:v>Executed</x:v>
      </x:c>
      <x:c r="G18" s="23" t="str">
        <x:v>Passed</x:v>
      </x:c>
      <x:c r="H18" s="23" t="str">
        <x:v>Vite 7.0.7 build passed</x:v>
      </x:c>
      <x:c r="I18" s="23" t="str">
        <x:v>Codex local audit</x:v>
      </x:c>
      <x:c r="J18" s="23"/>
      <x:c r="K18" s="23" t="str">
        <x:v>No</x:v>
      </x:c>
      <x:c r="L18" s="23" t="str">
        <x:v>Evidence recorded in docs/phase-00-validation.md</x:v>
      </x:c>
    </x:row>
    <x:row r="19" ht="60" hidden="0" customHeight="1">
      <x:c r="A19" s="23" t="str">
        <x:v>RUN-20260825-016</x:v>
      </x:c>
      <x:c r="B19" s="23" t="str">
        <x:v>TC-P00-016</x:v>
      </x:c>
      <x:c r="C19" s="38" t="n">
        <x:v>46259</x:v>
      </x:c>
      <x:c r="D19" s="23" t="str">
        <x:v>Local WSL2 / Docker Desktop / PostgreSQL 16</x:v>
      </x:c>
      <x:c r="E19" s="23" t="str">
        <x:v>4ddd199</x:v>
      </x:c>
      <x:c r="F19" s="23" t="str">
        <x:v>Executed</x:v>
      </x:c>
      <x:c r="G19" s="23" t="str">
        <x:v>Passed</x:v>
      </x:c>
      <x:c r="H19" s="23" t="str">
        <x:v>Browser verified; no console errors</x:v>
      </x:c>
      <x:c r="I19" s="23" t="str">
        <x:v>Codex local audit</x:v>
      </x:c>
      <x:c r="J19" s="23"/>
      <x:c r="K19" s="23" t="str">
        <x:v>No</x:v>
      </x:c>
      <x:c r="L19" s="23" t="str">
        <x:v>Evidence recorded in docs/phase-00-validation.md</x:v>
      </x:c>
    </x:row>
    <x:row r="20" ht="84" hidden="0" customHeight="1">
      <x:c r="A20" s="23" t="str">
        <x:v>RUN-20260825-017</x:v>
      </x:c>
      <x:c r="B20" s="23" t="str">
        <x:v>TC-P00-017</x:v>
      </x:c>
      <x:c r="C20" s="38" t="n">
        <x:v>46259</x:v>
      </x:c>
      <x:c r="D20" s="23" t="str">
        <x:v>Local WSL2 / Docker Desktop / PostgreSQL 16</x:v>
      </x:c>
      <x:c r="E20" s="23" t="str">
        <x:v>4ddd199</x:v>
      </x:c>
      <x:c r="F20" s="23" t="str">
        <x:v>Executed</x:v>
      </x:c>
      <x:c r="G20" s="23" t="str">
        <x:v>Passed</x:v>
      </x:c>
      <x:c r="H20" s="23" t="str">
        <x:v>Dashboard remained usable and showed Hybrid · mock fallback</x:v>
      </x:c>
      <x:c r="I20" s="23" t="str">
        <x:v>Codex local audit</x:v>
      </x:c>
      <x:c r="J20" s="23"/>
      <x:c r="K20" s="23" t="str">
        <x:v>No</x:v>
      </x:c>
      <x:c r="L20" s="23" t="str">
        <x:v>Evidence recorded in docs/phase-00-validation.md</x:v>
      </x:c>
    </x:row>
    <x:row r="21" ht="60" hidden="0" customHeight="1">
      <x:c r="A21" s="23" t="str">
        <x:v>RUN-20260825-018</x:v>
      </x:c>
      <x:c r="B21" s="23" t="str">
        <x:v>TC-P00-018</x:v>
      </x:c>
      <x:c r="C21" s="38" t="n">
        <x:v>46259</x:v>
      </x:c>
      <x:c r="D21" s="23" t="str">
        <x:v>Local WSL2 / Docker Desktop / PostgreSQL 16</x:v>
      </x:c>
      <x:c r="E21" s="23" t="str">
        <x:v>4ddd199</x:v>
      </x:c>
      <x:c r="F21" s="23" t="str">
        <x:v>Executed</x:v>
      </x:c>
      <x:c r="G21" s="23" t="str">
        <x:v>Passed</x:v>
      </x:c>
      <x:c r="H21" s="23" t="str">
        <x:v>Local and CI packaging passed</x:v>
      </x:c>
      <x:c r="I21" s="23" t="str">
        <x:v>Codex local audit</x:v>
      </x:c>
      <x:c r="J21" s="23"/>
      <x:c r="K21" s="23" t="str">
        <x:v>No</x:v>
      </x:c>
      <x:c r="L21" s="23" t="str">
        <x:v>Evidence recorded in docs/phase-00-validation.md</x:v>
      </x:c>
    </x:row>
    <x:row r="22" ht="60" hidden="0" customHeight="1">
      <x:c r="A22" s="23" t="str">
        <x:v>RUN-20260825-019</x:v>
      </x:c>
      <x:c r="B22" s="23" t="str">
        <x:v>TC-P00-019</x:v>
      </x:c>
      <x:c r="C22" s="38" t="n">
        <x:v>46259</x:v>
      </x:c>
      <x:c r="D22" s="23" t="str">
        <x:v>Local WSL2 / Docker Desktop / PostgreSQL 16</x:v>
      </x:c>
      <x:c r="E22" s="23" t="str">
        <x:v>4ddd199</x:v>
      </x:c>
      <x:c r="F22" s="23" t="str">
        <x:v>Executed</x:v>
      </x:c>
      <x:c r="G22" s="23" t="str">
        <x:v>Passed</x:v>
      </x:c>
      <x:c r="H22" s="23" t="str">
        <x:v>API docs route published</x:v>
      </x:c>
      <x:c r="I22" s="23" t="str">
        <x:v>Codex local audit</x:v>
      </x:c>
      <x:c r="J22" s="23"/>
      <x:c r="K22" s="23" t="str">
        <x:v>No</x:v>
      </x:c>
      <x:c r="L22" s="23" t="str">
        <x:v>Evidence recorded in docs/phase-00-validation.md</x:v>
      </x:c>
    </x:row>
    <x:row r="23" ht="96" hidden="0" customHeight="1">
      <x:c r="A23" s="24" t="str">
        <x:v>RUN-20260825-020</x:v>
      </x:c>
      <x:c r="B23" s="24" t="str">
        <x:v>TC-P00-020</x:v>
      </x:c>
      <x:c r="C23" s="39" t="n">
        <x:v>46259</x:v>
      </x:c>
      <x:c r="D23" s="24" t="str">
        <x:v>Local WSL2 / Docker Desktop / PostgreSQL 16</x:v>
      </x:c>
      <x:c r="E23" s="24" t="str">
        <x:v>4ddd199</x:v>
      </x:c>
      <x:c r="F23" s="24" t="str">
        <x:v>Executed</x:v>
      </x:c>
      <x:c r="G23" s="24" t="str">
        <x:v>Passed</x:v>
      </x:c>
      <x:c r="H23" s="24" t="str">
        <x:v>Log contained method, path, status, duration_ms and request_id</x:v>
      </x:c>
      <x:c r="I23" s="24" t="str">
        <x:v>Codex local audit</x:v>
      </x:c>
      <x:c r="J23" s="24"/>
      <x:c r="K23" s="24" t="str">
        <x:v>No</x:v>
      </x:c>
      <x:c r="L23" s="24" t="str">
        <x:v>Evidence recorded in docs/phase-00-validation.md</x:v>
      </x:c>
    </x:row>
    <x:row r="24">
      <x:c r="A24" t="str">
        <x:v>RUN-20260920-001</x:v>
      </x:c>
      <x:c r="B24" t="str">
        <x:v>TC-P03-010</x:v>
      </x:c>
      <x:c r="C24" t="n">
        <x:v>46285</x:v>
      </x:c>
      <x:c r="D24" t="str">
        <x:v>Local Windows / PostgreSQL 16 dedicated test database</x:v>
      </x:c>
      <x:c r="E24" t="str">
        <x:v>f9555f2 + concurrency test changes</x:v>
      </x:c>
      <x:c r="F24" t="str">
        <x:v>Executed</x:v>
      </x:c>
      <x:c r="G24" t="str">
        <x:v>Passed</x:v>
      </x:c>
      <x:c r="H24" t="str">
        <x:v>Exact line and request totals both stored as 10.0100</x:v>
      </x:c>
      <x:c r="I24" t="str">
        <x:v>Codex local audit</x:v>
      </x:c>
      <x:c r="J24"/>
      <x:c r="K24" t="str">
        <x:v>No</x:v>
      </x:c>
      <x:c r="L24" t="str">
        <x:v>Focused suite: 13 passed</x:v>
      </x:c>
    </x:row>
    <x:row r="25">
      <x:c r="A25" t="str">
        <x:v>RUN-20260920-002</x:v>
      </x:c>
      <x:c r="B25" t="str">
        <x:v>TC-P03-011</x:v>
      </x:c>
      <x:c r="C25" t="n">
        <x:v>46285</x:v>
      </x:c>
      <x:c r="D25" t="str">
        <x:v>Local Windows / PostgreSQL 16 dedicated test database</x:v>
      </x:c>
      <x:c r="E25" t="str">
        <x:v>f9555f2 + concurrency test changes</x:v>
      </x:c>
      <x:c r="F25" t="str">
        <x:v>Executed</x:v>
      </x:c>
      <x:c r="G25" t="str">
        <x:v>Passed</x:v>
      </x:c>
      <x:c r="H25" t="str">
        <x:v>Five-decimal amount rejected with HTTP 422</x:v>
      </x:c>
      <x:c r="I25" t="str">
        <x:v>Codex local audit</x:v>
      </x:c>
      <x:c r="J25"/>
      <x:c r="K25" t="str">
        <x:v>No</x:v>
      </x:c>
      <x:c r="L25" t="str">
        <x:v>Focused suite: 13 passed</x:v>
      </x:c>
    </x:row>
    <x:row r="26">
      <x:c r="A26" t="str">
        <x:v>RUN-20260920-003</x:v>
      </x:c>
      <x:c r="B26" t="str">
        <x:v>TC-P03-012</x:v>
      </x:c>
      <x:c r="C26" t="n">
        <x:v>46285</x:v>
      </x:c>
      <x:c r="D26" t="str">
        <x:v>Local Windows / PostgreSQL 16 dedicated test database</x:v>
      </x:c>
      <x:c r="E26" t="str">
        <x:v>f9555f2 + concurrency test changes</x:v>
      </x:c>
      <x:c r="F26" t="str">
        <x:v>Executed</x:v>
      </x:c>
      <x:c r="G26" t="str">
        <x:v>Passed</x:v>
      </x:c>
      <x:c r="H26" t="str">
        <x:v>Concurrent outcomes were one HTTP 200 and one HTTP 409</x:v>
      </x:c>
      <x:c r="I26" t="str">
        <x:v>Codex local audit</x:v>
      </x:c>
      <x:c r="J26"/>
      <x:c r="K26" t="str">
        <x:v>No</x:v>
      </x:c>
      <x:c r="L26" t="str">
        <x:v>Focused suite: 13 passed</x:v>
      </x:c>
    </x:row>
    <x:row r="27">
      <x:c r="A27" t="str">
        <x:v>RUN-20260920-004</x:v>
      </x:c>
      <x:c r="B27" t="str">
        <x:v>TC-P03-013</x:v>
      </x:c>
      <x:c r="C27" t="n">
        <x:v>46285</x:v>
      </x:c>
      <x:c r="D27" t="str">
        <x:v>Local Windows / PostgreSQL 16 dedicated test database</x:v>
      </x:c>
      <x:c r="E27" t="str">
        <x:v>f9555f2 + concurrency test changes</x:v>
      </x:c>
      <x:c r="F27" t="str">
        <x:v>Executed</x:v>
      </x:c>
      <x:c r="G27" t="str">
        <x:v>Passed</x:v>
      </x:c>
      <x:c r="H27" t="str">
        <x:v>Both concurrent calls returned the same number and version</x:v>
      </x:c>
      <x:c r="I27" t="str">
        <x:v>Codex local audit</x:v>
      </x:c>
      <x:c r="J27"/>
      <x:c r="K27" t="str">
        <x:v>No</x:v>
      </x:c>
      <x:c r="L27" t="str">
        <x:v>Focused suite: 13 passed</x:v>
      </x:c>
    </x:row>
    <x:row r="28">
      <x:c r="A28" t="str">
        <x:v>RUN-20260920-005</x:v>
      </x:c>
      <x:c r="B28" t="str">
        <x:v>TC-P03-014</x:v>
      </x:c>
      <x:c r="C28" t="n">
        <x:v>46285</x:v>
      </x:c>
      <x:c r="D28" t="str">
        <x:v>Local Windows / PostgreSQL 16 dedicated test database</x:v>
      </x:c>
      <x:c r="E28" t="str">
        <x:v>f9555f2 + concurrency test changes</x:v>
      </x:c>
      <x:c r="F28" t="str">
        <x:v>Executed</x:v>
      </x:c>
      <x:c r="G28" t="str">
        <x:v>Passed</x:v>
      </x:c>
      <x:c r="H28" t="str">
        <x:v>Six simultaneous submissions received unique contiguous numbers</x:v>
      </x:c>
      <x:c r="I28" t="str">
        <x:v>Codex local audit</x:v>
      </x:c>
      <x:c r="J28"/>
      <x:c r="K28" t="str">
        <x:v>No</x:v>
      </x:c>
      <x:c r="L28" t="str">
        <x:v>Focused suite: 13 passed</x:v>
      </x:c>
    </x:row>
    <x:row r="29">
      <x:c r="A29" t="str">
        <x:v>RUN-20260920-006</x:v>
      </x:c>
      <x:c r="B29" t="str">
        <x:v>TC-P03-015</x:v>
      </x:c>
      <x:c r="C29" t="n">
        <x:v>46285</x:v>
      </x:c>
      <x:c r="D29" t="str">
        <x:v>Local Windows / PostgreSQL 16 dedicated test database</x:v>
      </x:c>
      <x:c r="E29" t="str">
        <x:v>f9555f2 + concurrency test changes</x:v>
      </x:c>
      <x:c r="F29" t="str">
        <x:v>Executed</x:v>
      </x:c>
      <x:c r="G29" t="str">
        <x:v>Passed</x:v>
      </x:c>
      <x:c r="H29" t="str">
        <x:v>100 records returned across two stable pages in about 23 ms; 22 SQL statements</x:v>
      </x:c>
      <x:c r="I29" t="str">
        <x:v>Codex local audit</x:v>
      </x:c>
      <x:c r="J29"/>
      <x:c r="K29" t="str">
        <x:v>No</x:v>
      </x:c>
      <x:c r="L29" t="str">
        <x:v>Full suite: 46 passed; Ruff passed</x:v>
      </x:c>
    </x:row>
    <x:row r="30">
      <x:c r="A30" t="str">
        <x:v>RUN-20260921-001</x:v>
      </x:c>
      <x:c r="B30" t="str">
        <x:v>TC-P03-016</x:v>
      </x:c>
      <x:c r="C30" t="n">
        <x:v>46286</x:v>
      </x:c>
      <x:c r="D30" t="str">
        <x:v>Local Windows / PostgreSQL 16 dedicated test database</x:v>
      </x:c>
      <x:c r="E30" t="str">
        <x:v>working tree after 1752be2</x:v>
      </x:c>
      <x:c r="F30" t="str">
        <x:v>Executed</x:v>
      </x:c>
      <x:c r="G30" t="str">
        <x:v>Passed</x:v>
      </x:c>
      <x:c r="H30" t="str">
        <x:v>Search/filter/sort and amount-bound API tests passed</x:v>
      </x:c>
      <x:c r="I30" t="str">
        <x:v>Codex local audit</x:v>
      </x:c>
      <x:c r="J30"/>
      <x:c r="K30" t="str">
        <x:v>No</x:v>
      </x:c>
      <x:c r="L30" t="str">
        <x:v>Full suite: 54 passed; Ruff passed</x:v>
      </x:c>
    </x:row>
    <x:row r="31">
      <x:c r="A31" t="str">
        <x:v>RUN-20260921-002</x:v>
      </x:c>
      <x:c r="B31" t="str">
        <x:v>TC-P03-017</x:v>
      </x:c>
      <x:c r="C31" t="n">
        <x:v>46286</x:v>
      </x:c>
      <x:c r="D31" t="str">
        <x:v>Local Windows / PostgreSQL 16 dedicated test database</x:v>
      </x:c>
      <x:c r="E31" t="str">
        <x:v>working tree after 1752be2</x:v>
      </x:c>
      <x:c r="F31" t="str">
        <x:v>Executed</x:v>
      </x:c>
      <x:c r="G31" t="str">
        <x:v>Passed</x:v>
      </x:c>
      <x:c r="H31" t="str">
        <x:v>Expired drafts archived in dry-run/enabled tests with audit evidence</x:v>
      </x:c>
      <x:c r="I31" t="str">
        <x:v>Codex local audit</x:v>
      </x:c>
      <x:c r="J31"/>
      <x:c r="K31" t="str">
        <x:v>No</x:v>
      </x:c>
      <x:c r="L31" t="str">
        <x:v>Submitted records were not deleted or changed</x:v>
      </x:c>
    </x:row>
    <x:row r="32">
      <x:c r="A32" t="str">
        <x:v>RUN-20260921-003</x:v>
      </x:c>
      <x:c r="B32" t="str">
        <x:v>TC-P03-018</x:v>
      </x:c>
      <x:c r="C32" t="n">
        <x:v>46286</x:v>
      </x:c>
      <x:c r="D32" t="str">
        <x:v>Local Windows / PostgreSQL 16 dedicated test database</x:v>
      </x:c>
      <x:c r="E32" t="str">
        <x:v>working tree after 1752be2</x:v>
      </x:c>
      <x:c r="F32" t="str">
        <x:v>Executed</x:v>
      </x:c>
      <x:c r="G32" t="str">
        <x:v>Passed</x:v>
      </x:c>
      <x:c r="H32" t="str">
        <x:v>PHP, USD and EUR exact values plus zero/negative/maximum boundaries passed</x:v>
      </x:c>
      <x:c r="I32" t="str">
        <x:v>Codex local audit</x:v>
      </x:c>
      <x:c r="J32"/>
      <x:c r="K32" t="str">
        <x:v>No</x:v>
      </x:c>
      <x:c r="L32" t="str">
        <x:v>Full suite: 54 passed</x:v>
      </x:c>
    </x:row>
    <x:row r="33">
      <x:c r="A33" t="str">
        <x:v>RUN-20260921-004</x:v>
      </x:c>
      <x:c r="B33" t="str">
        <x:v>TC-P03-019</x:v>
      </x:c>
      <x:c r="C33" t="n">
        <x:v>46286</x:v>
      </x:c>
      <x:c r="D33" t="str">
        <x:v>Local Windows / PostgreSQL 16 dedicated test database</x:v>
      </x:c>
      <x:c r="E33" t="str">
        <x:v>working tree after 1752be2</x:v>
      </x:c>
      <x:c r="F33" t="str">
        <x:v>Executed</x:v>
      </x:c>
      <x:c r="G33" t="str">
        <x:v>Passed</x:v>
      </x:c>
      <x:c r="H33" t="str">
        <x:v>Manager visibility, unauthorized commands, explicit deny and admin audit passed</x:v>
      </x:c>
      <x:c r="I33" t="str">
        <x:v>Codex local audit</x:v>
      </x:c>
      <x:c r="J33"/>
      <x:c r="K33" t="str">
        <x:v>No</x:v>
      </x:c>
      <x:c r="L33" t="str">
        <x:v>Full suite: 54 passed</x:v>
      </x:c>
    </x:row>
    <x:row r="34">
      <x:c r="A34" t="str">
        <x:v>RUN-20260921-005</x:v>
      </x:c>
      <x:c r="B34" t="str">
        <x:v>TC-P03-020</x:v>
      </x:c>
      <x:c r="C34" t="n">
        <x:v>46286</x:v>
      </x:c>
      <x:c r="D34" t="str">
        <x:v>Local Windows / Vite 7.3.6</x:v>
      </x:c>
      <x:c r="E34" t="str">
        <x:v>working tree after 1752be2</x:v>
      </x:c>
      <x:c r="F34" t="str">
        <x:v>Executed</x:v>
      </x:c>
      <x:c r="G34" t="str">
        <x:v>Passed</x:v>
      </x:c>
      <x:c r="H34" t="str">
        <x:v>TypeScript and Vite production build completed successfully</x:v>
      </x:c>
      <x:c r="I34" t="str">
        <x:v>Codex local audit</x:v>
      </x:c>
      <x:c r="J34"/>
      <x:c r="K34" t="str">
        <x:v>No</x:v>
      </x:c>
      <x:c r="L34" t="str">
        <x:v>API adapter and hybrid fallback paths retained</x:v>
      </x:c>
    </x:row>
    <x:row r="35">
      <x:c r="A35" t="str">
        <x:v>RUN-20260921-006</x:v>
      </x:c>
      <x:c r="B35" t="str">
        <x:v>TC-P03-021</x:v>
      </x:c>
      <x:c r="C35" t="n">
        <x:v>46286</x:v>
      </x:c>
      <x:c r="D35" t="str">
        <x:v>Local Windows / in-app browser / API 8002 / frontend 5177</x:v>
      </x:c>
      <x:c r="E35" t="str">
        <x:v>working tree after 1752be2</x:v>
      </x:c>
      <x:c r="F35" t="str">
        <x:v>Executed</x:v>
      </x:c>
      <x:c r="G35" t="str">
        <x:v>Passed</x:v>
      </x:c>
      <x:c r="H35" t="str">
        <x:v>System Administrator helper populated credentials and API-connected dashboard rendered</x:v>
      </x:c>
      <x:c r="I35" t="str">
        <x:v>Codex local audit</x:v>
      </x:c>
      <x:c r="J35"/>
      <x:c r="K35" t="str">
        <x:v>No</x:v>
      </x:c>
      <x:c r="L35" t="str">
        <x:v>No restoring-session page observed</x:v>
      </x:c>
    </x:row>
    <x:row r="36">
      <x:c r="A36" t="str">
        <x:v>RUN-20260921-007</x:v>
      </x:c>
      <x:c r="B36" t="str">
        <x:v>TC-P03-022</x:v>
      </x:c>
      <x:c r="C36" t="n">
        <x:v>46286</x:v>
      </x:c>
      <x:c r="D36" t="str">
        <x:v>Repository documentation review</x:v>
      </x:c>
      <x:c r="E36" t="str">
        <x:v>working tree after 1752be2</x:v>
      </x:c>
      <x:c r="F36" t="str">
        <x:v>Executed</x:v>
      </x:c>
      <x:c r="G36" t="str">
        <x:v>Passed</x:v>
      </x:c>
      <x:c r="H36" t="str">
        <x:v>Phase 03 request API and retention behavior documented</x:v>
      </x:c>
      <x:c r="I36" t="str">
        <x:v>Codex local audit</x:v>
      </x:c>
      <x:c r="J36"/>
      <x:c r="K36" t="str">
        <x:v>No</x:v>
      </x:c>
      <x:c r="L36" t="str">
        <x:v>docs/phase-03-api.md</x:v>
      </x:c>
    </x:row>
    <x:row r="37">
      <x:c r="A37" t="str">
        <x:v>RUN-20260922-001</x:v>
      </x:c>
      <x:c r="B37" t="str">
        <x:v>TC-P03-023</x:v>
      </x:c>
      <x:c r="C37" s="40" t="n">
        <x:v>46287</x:v>
      </x:c>
      <x:c r="D37" t="str">
        <x:v>Local Windows / PostgreSQL 17 dedicated test database</x:v>
      </x:c>
      <x:c r="E37" t="str">
        <x:v>working tree after 4b79603</x:v>
      </x:c>
      <x:c r="F37" t="str">
        <x:v>Executed</x:v>
      </x:c>
      <x:c r="G37" t="str">
        <x:v>Passed</x:v>
      </x:c>
      <x:c r="H37" t="str">
        <x:v>21 focused request API tests passed; one warning</x:v>
      </x:c>
      <x:c r="I37" t="str">
        <x:v>Codex local audit</x:v>
      </x:c>
      <x:c r="J37"/>
      <x:c r="K37" t="str">
        <x:v>No</x:v>
      </x:c>
      <x:c r="L37" t="str">
        <x:v>pytest -q tests/test_payment_requests.py</x:v>
      </x:c>
    </x:row>
    <x:row r="38">
      <x:c r="A38" t="str">
        <x:v>RUN-20260922-002</x:v>
      </x:c>
      <x:c r="B38" t="str">
        <x:v>TC-P03-024</x:v>
      </x:c>
      <x:c r="C38" s="40" t="n">
        <x:v>46287</x:v>
      </x:c>
      <x:c r="D38" t="str">
        <x:v>In-app Chromium / API 8004 / frontend 5184 / test DB</x:v>
      </x:c>
      <x:c r="E38" t="str">
        <x:v>working tree after 4b79603</x:v>
      </x:c>
      <x:c r="F38" t="str">
        <x:v>Executed</x:v>
      </x:c>
      <x:c r="G38" t="str">
        <x:v>Passed</x:v>
      </x:c>
      <x:c r="H38" t="str">
        <x:v>Draft saved, reloaded and reopened with purpose and Marketing cost center</x:v>
      </x:c>
      <x:c r="I38" t="str">
        <x:v>Codex browser audit</x:v>
      </x:c>
      <x:c r="J38"/>
      <x:c r="K38" t="str">
        <x:v>No</x:v>
      </x:c>
      <x:c r="L38" t="str">
        <x:v>Exact synthetic draft removed through API; database count returned zero</x:v>
      </x:c>
    </x:row>
    <x:row r="39">
      <x:c r="A39" t="str">
        <x:v>RUN-20260922-003</x:v>
      </x:c>
      <x:c r="B39" t="str">
        <x:v>TC-P03-025</x:v>
      </x:c>
      <x:c r="C39" s="40" t="n">
        <x:v>46287</x:v>
      </x:c>
      <x:c r="D39" t="str">
        <x:v>In-app Chromium / API and mock modes</x:v>
      </x:c>
      <x:c r="E39" t="str">
        <x:v>working tree after 4b79603</x:v>
      </x:c>
      <x:c r="F39" t="str">
        <x:v>Executed</x:v>
      </x:c>
      <x:c r="G39" t="str">
        <x:v>Passed</x:v>
      </x:c>
      <x:c r="H39" t="str">
        <x:v>Incomplete Reimbursement and active General Payment line were blocked</x:v>
      </x:c>
      <x:c r="I39" t="str">
        <x:v>Codex browser audit</x:v>
      </x:c>
      <x:c r="J39"/>
      <x:c r="K39" t="str">
        <x:v>No</x:v>
      </x:c>
      <x:c r="L39" t="str">
        <x:v>Observed request-not-submitted alerts</x:v>
      </x:c>
    </x:row>
    <x:row r="40">
      <x:c r="A40" t="str">
        <x:v>RUN-20260922-004</x:v>
      </x:c>
      <x:c r="B40" t="str">
        <x:v>TC-P03-026</x:v>
      </x:c>
      <x:c r="C40" s="40" t="n">
        <x:v>46287</x:v>
      </x:c>
      <x:c r="D40" t="str">
        <x:v>In-app Chromium / mock frontend 5185</x:v>
      </x:c>
      <x:c r="E40" t="str">
        <x:v>working tree after 4b79603 + mock draft fix</x:v>
      </x:c>
      <x:c r="F40" t="str">
        <x:v>Executed</x:v>
      </x:c>
      <x:c r="G40" t="str">
        <x:v>Passed</x:v>
      </x:c>
      <x:c r="H40" t="str">
        <x:v>Draft count and entered particulars survived reload and Continue Editing</x:v>
      </x:c>
      <x:c r="I40" t="str">
        <x:v>Codex browser audit</x:v>
      </x:c>
      <x:c r="J40"/>
      <x:c r="K40" t="str">
        <x:v>Completed</x:v>
      </x:c>
      <x:c r="L40" t="str">
        <x:v>Retest after browser-local mock storage fix</x:v>
      </x:c>
    </x:row>
    <x:row r="41">
      <x:c r="A41" t="str">
        <x:v>RUN-20260922-005</x:v>
      </x:c>
      <x:c r="B41" t="str">
        <x:v>TC-P03-027</x:v>
      </x:c>
      <x:c r="C41" s="40" t="n">
        <x:v>46287</x:v>
      </x:c>
      <x:c r="D41" t="str">
        <x:v>In-app Chromium / 390 x 844 / mock mode</x:v>
      </x:c>
      <x:c r="E41" t="str">
        <x:v>working tree after 4b79603</x:v>
      </x:c>
      <x:c r="F41" t="str">
        <x:v>Executed</x:v>
      </x:c>
      <x:c r="G41" t="str">
        <x:v>Passed</x:v>
      </x:c>
      <x:c r="H41" t="str">
        <x:v>All five request forms had no page-level horizontal overflow</x:v>
      </x:c>
      <x:c r="I41" t="str">
        <x:v>Codex browser audit</x:v>
      </x:c>
      <x:c r="J41"/>
      <x:c r="K41" t="str">
        <x:v>No</x:v>
      </x:c>
      <x:c r="L41" t="str">
        <x:v>Full accessibility review separately deferred</x:v>
      </x:c>
    </x:row>
    <x:row r="42">
      <x:c r="A42" t="str">
        <x:v>RUN-20260922-006</x:v>
      </x:c>
      <x:c r="B42" t="str">
        <x:v>TC-P03-028</x:v>
      </x:c>
      <x:c r="C42" s="40" t="n">
        <x:v>46287</x:v>
      </x:c>
      <x:c r="D42" t="str">
        <x:v>In-app Chromium / API 8004 / frontend 5184</x:v>
      </x:c>
      <x:c r="E42" t="str">
        <x:v>working tree after 4b79603</x:v>
      </x:c>
      <x:c r="F42" t="str">
        <x:v>Executed</x:v>
      </x:c>
      <x:c r="G42" t="str">
        <x:v>Passed</x:v>
      </x:c>
      <x:c r="H42" t="str">
        <x:v>All five form routes rendered with API-connected requestor session</x:v>
      </x:c>
      <x:c r="I42" t="str">
        <x:v>Codex browser audit</x:v>
      </x:c>
      <x:c r="J42"/>
      <x:c r="K42" t="str">
        <x:v>No</x:v>
      </x:c>
      <x:c r="L42" t="str">
        <x:v>Not a full five-type submission test</x:v>
      </x:c>
    </x:row>
    <x:row r="43">
      <x:c r="A43" t="str">
        <x:v>RUN-20260922-007</x:v>
      </x:c>
      <x:c r="B43" t="str">
        <x:v>TC-P03-007</x:v>
      </x:c>
      <x:c r="C43" s="40" t="n">
        <x:v>46287</x:v>
      </x:c>
      <x:c r="D43" t="str">
        <x:v>Local Windows / PostgreSQL 17 dedicated test database</x:v>
      </x:c>
      <x:c r="E43" t="str">
        <x:v>working tree after 4b79603</x:v>
      </x:c>
      <x:c r="F43" t="str">
        <x:v>Executed</x:v>
      </x:c>
      <x:c r="G43" t="str">
        <x:v>Passed</x:v>
      </x:c>
      <x:c r="H43" t="str">
        <x:v>Full backend regression: 58 passed, 1 warning</x:v>
      </x:c>
      <x:c r="I43" t="str">
        <x:v>Codex local audit</x:v>
      </x:c>
      <x:c r="J43"/>
      <x:c r="K43" t="str">
        <x:v>No</x:v>
      </x:c>
      <x:c r="L43" t="str">
        <x:v>pytest -q</x:v>
      </x:c>
    </x:row>
    <x:row r="44">
      <x:c r="A44" t="str">
        <x:v>RUN-20260922-008</x:v>
      </x:c>
      <x:c r="B44" t="str">
        <x:v>TC-P03-008</x:v>
      </x:c>
      <x:c r="C44" s="40" t="n">
        <x:v>46287</x:v>
      </x:c>
      <x:c r="D44" t="str">
        <x:v>Local Windows / Vite 7.3.6</x:v>
      </x:c>
      <x:c r="E44" t="str">
        <x:v>working tree after 4b79603 + mock draft fix</x:v>
      </x:c>
      <x:c r="F44" t="str">
        <x:v>Executed</x:v>
      </x:c>
      <x:c r="G44" t="str">
        <x:v>Passed</x:v>
      </x:c>
      <x:c r="H44" t="str">
        <x:v>TypeScript and production frontend build passed</x:v>
      </x:c>
      <x:c r="I44" t="str">
        <x:v>Codex local audit</x:v>
      </x:c>
      <x:c r="J44"/>
      <x:c r="K44" t="str">
        <x:v>No</x:v>
      </x:c>
      <x:c r="L44" t="str">
        <x:v>pnpm run build</x:v>
      </x:c>
    </x:row>
    <x:row r="45">
      <x:c r="A45" t="str">
        <x:v>RUN-20260923-001</x:v>
      </x:c>
      <x:c r="B45" t="str">
        <x:v>TC-P03-030</x:v>
      </x:c>
      <x:c r="C45" t="n">
        <x:v>46288</x:v>
      </x:c>
      <x:c r="D45" t="str">
        <x:v>Local Windows / PostgreSQL 17 dedicated test database</x:v>
      </x:c>
      <x:c r="E45" t="str">
        <x:v>working tree after 597ced1</x:v>
      </x:c>
      <x:c r="F45" t="str">
        <x:v>Executed</x:v>
      </x:c>
      <x:c r="G45" t="str">
        <x:v>Passed</x:v>
      </x:c>
      <x:c r="H45" t="str">
        <x:v>Exact and changed-information duplicate invoice classifications passed</x:v>
      </x:c>
      <x:c r="I45" t="str">
        <x:v>Codex local audit</x:v>
      </x:c>
      <x:c r="J45"/>
      <x:c r="K45" t="str">
        <x:v>No</x:v>
      </x:c>
      <x:c r="L45" t="str">
        <x:v>Focused duplicate/currency tests: 2 passed</x:v>
      </x:c>
    </x:row>
    <x:row r="46">
      <x:c r="A46" t="str">
        <x:v>RUN-20260923-002</x:v>
      </x:c>
      <x:c r="B46" t="str">
        <x:v>TC-P03-031</x:v>
      </x:c>
      <x:c r="C46" t="n">
        <x:v>46288</x:v>
      </x:c>
      <x:c r="D46" t="str">
        <x:v>Local Windows / PostgreSQL 17 dedicated test database</x:v>
      </x:c>
      <x:c r="E46" t="str">
        <x:v>working tree after 597ced1</x:v>
      </x:c>
      <x:c r="F46" t="str">
        <x:v>Executed</x:v>
      </x:c>
      <x:c r="G46" t="str">
        <x:v>Passed</x:v>
      </x:c>
      <x:c r="H46" t="str">
        <x:v>USD 1250.50 retained as USD 1250.50 with no conversion fields</x:v>
      </x:c>
      <x:c r="I46" t="str">
        <x:v>Codex local audit</x:v>
      </x:c>
      <x:c r="J46"/>
      <x:c r="K46" t="str">
        <x:v>No</x:v>
      </x:c>
      <x:c r="L46" t="str">
        <x:v>Focused duplicate/currency tests: 2 passed</x:v>
      </x:c>
    </x:row>
    <x:row r="47">
      <x:c r="A47" t="str">
        <x:v>RUN-20260923-003</x:v>
      </x:c>
      <x:c r="B47" t="str">
        <x:v>TC-P03-007</x:v>
      </x:c>
      <x:c r="C47" t="n">
        <x:v>46288</x:v>
      </x:c>
      <x:c r="D47" t="str">
        <x:v>Local Windows / PostgreSQL 17 dedicated test database</x:v>
      </x:c>
      <x:c r="E47" t="str">
        <x:v>working tree after 597ced1</x:v>
      </x:c>
      <x:c r="F47" t="str">
        <x:v>Executed</x:v>
      </x:c>
      <x:c r="G47" t="str">
        <x:v>Passed</x:v>
      </x:c>
      <x:c r="H47" t="str">
        <x:v>Full backend regression: 60 passed, 1 warning; Ruff passed</x:v>
      </x:c>
      <x:c r="I47" t="str">
        <x:v>Codex local audit</x:v>
      </x:c>
      <x:c r="J47"/>
      <x:c r="K47" t="str">
        <x:v>No</x:v>
      </x:c>
      <x:c r="L47" t="str">
        <x:v>pytest -q; ruff check api tests</x:v>
      </x:c>
    </x:row>
    <x:row r="48">
      <x:c r="A48" t="str">
        <x:v>RUN-20260923-004</x:v>
      </x:c>
      <x:c r="B48" t="str">
        <x:v>TC-P00-021</x:v>
      </x:c>
      <x:c r="C48" t="n">
        <x:v>46288</x:v>
      </x:c>
      <x:c r="D48" t="str">
        <x:v>Docker Desktop 4.92.0 / Engine 29.8.0 / PostgreSQL 16</x:v>
      </x:c>
      <x:c r="E48" t="str">
        <x:v>Current working tree</x:v>
      </x:c>
      <x:c r="F48" t="str">
        <x:v>Executed</x:v>
      </x:c>
      <x:c r="G48" t="str">
        <x:v>Passed</x:v>
      </x:c>
      <x:c r="H48" t="str">
        <x:v>Full upgrade/downgrade/replay and double seed passed</x:v>
      </x:c>
      <x:c r="I48" t="str">
        <x:v>Codex local audit</x:v>
      </x:c>
      <x:c r="J48"/>
      <x:c r="K48" t="str">
        <x:v>No</x:v>
      </x:c>
      <x:c r="L48" t="str">
        <x:v>docs/local-docker-acceptance-2026-09-23.md</x:v>
      </x:c>
    </x:row>
    <x:row r="49">
      <x:c r="A49" t="str">
        <x:v>RUN-20260923-005</x:v>
      </x:c>
      <x:c r="B49" t="str">
        <x:v>TC-P01-001</x:v>
      </x:c>
      <x:c r="C49" t="n">
        <x:v>46288</x:v>
      </x:c>
      <x:c r="D49" t="str">
        <x:v>Current FastAPI Docker image / PostgreSQL 16</x:v>
      </x:c>
      <x:c r="E49" t="str">
        <x:v>Current working tree</x:v>
      </x:c>
      <x:c r="F49" t="str">
        <x:v>Executed</x:v>
      </x:c>
      <x:c r="G49" t="str">
        <x:v>Passed</x:v>
      </x:c>
      <x:c r="H49" t="str">
        <x:v>Login, restart continuity, logout and post-logout rejection passed</x:v>
      </x:c>
      <x:c r="I49" t="str">
        <x:v>Codex local audit</x:v>
      </x:c>
      <x:c r="J49"/>
      <x:c r="K49" t="str">
        <x:v>No</x:v>
      </x:c>
      <x:c r="L49" t="str">
        <x:v>Live endpoints returned request IDs</x:v>
      </x:c>
    </x:row>
    <x:row r="50">
      <x:c r="A50" t="str">
        <x:v>RUN-20260923-006</x:v>
      </x:c>
      <x:c r="B50" t="str">
        <x:v>TC-P02-001</x:v>
      </x:c>
      <x:c r="C50" t="n">
        <x:v>46288</x:v>
      </x:c>
      <x:c r="D50" t="str">
        <x:v>Disposable Docker PostgreSQL database</x:v>
      </x:c>
      <x:c r="E50" t="str">
        <x:v>Current working tree</x:v>
      </x:c>
      <x:c r="F50" t="str">
        <x:v>Executed</x:v>
      </x:c>
      <x:c r="G50" t="str">
        <x:v>Passed</x:v>
      </x:c>
      <x:c r="H50" t="str">
        <x:v>Populated table blocked removal; empty retry upgraded to head</x:v>
      </x:c>
      <x:c r="I50" t="str">
        <x:v>Codex local audit</x:v>
      </x:c>
      <x:c r="J50"/>
      <x:c r="K50" t="str">
        <x:v>No</x:v>
      </x:c>
      <x:c r="L50" t="str">
        <x:v>Synthetic fixture only; no production records touched</x:v>
      </x:c>
    </x:row>
    <x:row r="51">
      <x:c r="A51" t="str">
        <x:v>RUN-20260923-007</x:v>
      </x:c>
      <x:c r="B51" t="str">
        <x:v>TC-P00-022</x:v>
      </x:c>
      <x:c r="C51" t="n">
        <x:v>46288</x:v>
      </x:c>
      <x:c r="D51" t="str">
        <x:v>Docker PostgreSQL 16 disposable source and restore databases</x:v>
      </x:c>
      <x:c r="E51" t="str">
        <x:v>Current working tree</x:v>
      </x:c>
      <x:c r="F51" t="str">
        <x:v>Executed</x:v>
      </x:c>
      <x:c r="G51" t="str">
        <x:v>Passed</x:v>
      </x:c>
      <x:c r="H51" t="str">
        <x:v>Custom-format restore exactly matched schema revision and sampled counts</x:v>
      </x:c>
      <x:c r="I51" t="str">
        <x:v>Codex local audit</x:v>
      </x:c>
      <x:c r="J51"/>
      <x:c r="K51" t="str">
        <x:v>No</x:v>
      </x:c>
      <x:c r="L51" t="str">
        <x:v>Local compatibility drill; production DR remains deferred</x:v>
      </x:c>
    </x:row>
    <x:row r="52">
      <x:c r="A52" t="str">
        <x:v>RUN-20260923-008</x:v>
      </x:c>
      <x:c r="B52" t="str">
        <x:v>TC-P03-007</x:v>
      </x:c>
      <x:c r="C52" t="n">
        <x:v>46288</x:v>
      </x:c>
      <x:c r="D52" t="str">
        <x:v>Docker PostgreSQL 16 dedicated test database</x:v>
      </x:c>
      <x:c r="E52" t="str">
        <x:v>Current working tree</x:v>
      </x:c>
      <x:c r="F52" t="str">
        <x:v>Executed</x:v>
      </x:c>
      <x:c r="G52" t="str">
        <x:v>Passed</x:v>
      </x:c>
      <x:c r="H52" t="str">
        <x:v>Complete backend regression: 60 passed, 1 warning in 106.12 seconds</x:v>
      </x:c>
      <x:c r="I52" t="str">
        <x:v>Codex local audit</x:v>
      </x:c>
      <x:c r="J52"/>
      <x:c r="K52" t="str">
        <x:v>No</x:v>
      </x:c>
      <x:c r="L52" t="str">
        <x:v>Includes concurrency, lifecycle, pagination, performance, duplicate and currency behavior</x:v>
      </x:c>
    </x:row>
    <x:row r="53">
      <x:c r="A53" t="str">
        <x:v>RUN-20260923-009</x:v>
      </x:c>
      <x:c r="B53" t="str">
        <x:v>TC-P04-001</x:v>
      </x:c>
      <x:c r="C53" t="n">
        <x:v>46288</x:v>
      </x:c>
      <x:c r="D53" t="str">
        <x:v>Docker PostgreSQL 16 / isolated test storage</x:v>
      </x:c>
      <x:c r="E53" t="str">
        <x:v>Current working tree</x:v>
      </x:c>
      <x:c r="F53" t="str">
        <x:v>Executed</x:v>
      </x:c>
      <x:c r="G53" t="str">
        <x:v>Passed</x:v>
      </x:c>
      <x:c r="H53" t="str">
        <x:v>Upload, list, preview, replacement, duplicate warning and access controls passed</x:v>
      </x:c>
      <x:c r="I53" t="str">
        <x:v>Codex local audit</x:v>
      </x:c>
      <x:c r="J53"/>
      <x:c r="K53" t="str">
        <x:v>No</x:v>
      </x:c>
      <x:c r="L53" t="str">
        <x:v>Focused document suite</x:v>
      </x:c>
    </x:row>
    <x:row r="54">
      <x:c r="A54" t="str">
        <x:v>RUN-20260923-010</x:v>
      </x:c>
      <x:c r="B54" t="str">
        <x:v>TC-P04-002</x:v>
      </x:c>
      <x:c r="C54" t="n">
        <x:v>46288</x:v>
      </x:c>
      <x:c r="D54" t="str">
        <x:v>Docker PostgreSQL 16 / isolated test storage</x:v>
      </x:c>
      <x:c r="E54" t="str">
        <x:v>Current working tree</x:v>
      </x:c>
      <x:c r="F54" t="str">
        <x:v>Executed</x:v>
      </x:c>
      <x:c r="G54" t="str">
        <x:v>Passed</x:v>
      </x:c>
      <x:c r="H54" t="str">
        <x:v>Audited removal cleared the object and retained unavailable metadata</x:v>
      </x:c>
      <x:c r="I54" t="str">
        <x:v>Codex local audit</x:v>
      </x:c>
      <x:c r="J54"/>
      <x:c r="K54" t="str">
        <x:v>No</x:v>
      </x:c>
      <x:c r="L54" t="str">
        <x:v>Removal and retry state verified</x:v>
      </x:c>
    </x:row>
    <x:row r="55">
      <x:c r="A55" t="str">
        <x:v>RUN-20260923-011</x:v>
      </x:c>
      <x:c r="B55" t="str">
        <x:v>TC-P04-003</x:v>
      </x:c>
      <x:c r="C55" t="n">
        <x:v>46288</x:v>
      </x:c>
      <x:c r="D55" t="str">
        <x:v>Docker PostgreSQL 16 dedicated test database</x:v>
      </x:c>
      <x:c r="E55" t="str">
        <x:v>Current working tree</x:v>
      </x:c>
      <x:c r="F55" t="str">
        <x:v>Executed</x:v>
      </x:c>
      <x:c r="G55" t="str">
        <x:v>Passed</x:v>
      </x:c>
      <x:c r="H55" t="str">
        <x:v>Requirement changed from incomplete to complete after typed upload</x:v>
      </x:c>
      <x:c r="I55" t="str">
        <x:v>Codex local audit</x:v>
      </x:c>
      <x:c r="J55"/>
      <x:c r="K55" t="str">
        <x:v>No</x:v>
      </x:c>
      <x:c r="L55" t="str">
        <x:v>Submission helper checked before and after upload</x:v>
      </x:c>
    </x:row>
    <x:row r="56">
      <x:c r="A56" t="str">
        <x:v>RUN-20260923-012</x:v>
      </x:c>
      <x:c r="B56" t="str">
        <x:v>TC-P04-004</x:v>
      </x:c>
      <x:c r="C56" t="n">
        <x:v>46288</x:v>
      </x:c>
      <x:c r="D56" t="str">
        <x:v>Docker PostgreSQL 16 dedicated test database</x:v>
      </x:c>
      <x:c r="E56" t="str">
        <x:v>Current working tree</x:v>
      </x:c>
      <x:c r="F56" t="str">
        <x:v>Executed</x:v>
      </x:c>
      <x:c r="G56" t="str">
        <x:v>Passed</x:v>
      </x:c>
      <x:c r="H56" t="str">
        <x:v>Hard-copy received and replacement-required histories persisted</x:v>
      </x:c>
      <x:c r="I56" t="str">
        <x:v>Codex local audit</x:v>
      </x:c>
      <x:c r="J56"/>
      <x:c r="K56" t="str">
        <x:v>No</x:v>
      </x:c>
      <x:c r="L56" t="str">
        <x:v>Finance permission path verified</x:v>
      </x:c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</x:row>
    <x:row r="59">
      <x:c r="A59" t="str">
        <x:v>RUN-20260925-001</x:v>
      </x:c>
      <x:c r="B59" t="str">
        <x:v>TC-P03-032</x:v>
      </x:c>
      <x:c r="C59" t="n">
        <x:v>46290</x:v>
      </x:c>
      <x:c r="D59" t="str">
        <x:v>Docker PostgreSQL 16 dedicated test database</x:v>
      </x:c>
      <x:c r="E59" t="str">
        <x:v>Current working tree</x:v>
      </x:c>
      <x:c r="F59" t="str">
        <x:v>Executed</x:v>
      </x:c>
      <x:c r="G59" t="str">
        <x:v>Passed</x:v>
      </x:c>
      <x:c r="H59" t="str">
        <x:v>Eligible P.O. submitted with immutable safe Procurement/vendor snapshot</x:v>
      </x:c>
      <x:c r="I59" t="str">
        <x:v>Codex local audit</x:v>
      </x:c>
      <x:c r="J59"/>
      <x:c r="K59" t="str">
        <x:v>No</x:v>
      </x:c>
      <x:c r="L59" t="str">
        <x:v>No bank-account fields retained</x:v>
      </x:c>
    </x:row>
    <x:row r="60">
      <x:c r="A60" t="str">
        <x:v>RUN-20260925-002</x:v>
      </x:c>
      <x:c r="B60" t="str">
        <x:v>TC-P03-033</x:v>
      </x:c>
      <x:c r="C60" t="n">
        <x:v>46290</x:v>
      </x:c>
      <x:c r="D60" t="str">
        <x:v>Docker PostgreSQL 16 dedicated test database</x:v>
      </x:c>
      <x:c r="E60" t="str">
        <x:v>Current working tree</x:v>
      </x:c>
      <x:c r="F60" t="str">
        <x:v>Executed</x:v>
      </x:c>
      <x:c r="G60" t="str">
        <x:v>Passed</x:v>
      </x:c>
      <x:c r="H60" t="str">
        <x:v>Filed, mismatched and duplicate P.O. submissions returned field-scoped 422 responses</x:v>
      </x:c>
      <x:c r="I60" t="str">
        <x:v>Codex local audit</x:v>
      </x:c>
      <x:c r="J60"/>
      <x:c r="K60" t="str">
        <x:v>No</x:v>
      </x:c>
      <x:c r="L60" t="str">
        <x:v>Authoritative Procurement adapter used server-side</x:v>
      </x:c>
    </x:row>
    <x:row r="61">
      <x:c r="A61" t="str">
        <x:v>RUN-20260925-003</x:v>
      </x:c>
      <x:c r="B61" t="str">
        <x:v>TC-P03-034</x:v>
      </x:c>
      <x:c r="C61" t="n">
        <x:v>46290</x:v>
      </x:c>
      <x:c r="D61" t="str">
        <x:v>Docker PostgreSQL 16 dedicated test database</x:v>
      </x:c>
      <x:c r="E61" t="str">
        <x:v>Current working tree</x:v>
      </x:c>
      <x:c r="F61" t="str">
        <x:v>Executed</x:v>
      </x:c>
      <x:c r="G61" t="str">
        <x:v>Passed</x:v>
      </x:c>
      <x:c r="H61" t="str">
        <x:v>Amount cap, due date and outstanding-advance rules passed including liquidation release</x:v>
      </x:c>
      <x:c r="I61" t="str">
        <x:v>Codex local audit</x:v>
      </x:c>
      <x:c r="J61"/>
      <x:c r="K61" t="str">
        <x:v>No</x:v>
      </x:c>
      <x:c r="L61" t="str">
        <x:v>Confirmed Finance rules enforced at submit/resubmit</x:v>
      </x:c>
    </x:row>
    <x:row r="62">
      <x:c r="A62" t="str">
        <x:v>RUN-20260925-004</x:v>
      </x:c>
      <x:c r="B62" t="str">
        <x:v>TC-P03-035</x:v>
      </x:c>
      <x:c r="C62" t="n">
        <x:v>46290</x:v>
      </x:c>
      <x:c r="D62" t="str">
        <x:v>Local Windows / Docker PostgreSQL 16 test database</x:v>
      </x:c>
      <x:c r="E62" t="str">
        <x:v>Current working tree</x:v>
      </x:c>
      <x:c r="F62" t="str">
        <x:v>Executed</x:v>
      </x:c>
      <x:c r="G62" t="str">
        <x:v>Passed</x:v>
      </x:c>
      <x:c r="H62" t="str">
        <x:v>30 passed, 1 warning in 68.25 seconds</x:v>
      </x:c>
      <x:c r="I62" t="str">
        <x:v>Codex local audit</x:v>
      </x:c>
      <x:c r="J62"/>
      <x:c r="K62" t="str">
        <x:v>No</x:v>
      </x:c>
      <x:c r="L62" t="str">
        <x:v>Focused payment-request suite</x:v>
      </x:c>
    </x:row>
    <x:row r="63">
      <x:c r="A63" t="str">
        <x:v>RUN-20260925-005</x:v>
      </x:c>
      <x:c r="B63" t="str">
        <x:v>TC-P03-036</x:v>
      </x:c>
      <x:c r="C63" t="n">
        <x:v>46290</x:v>
      </x:c>
      <x:c r="D63" t="str">
        <x:v>Local Windows / Node 24 / Vite 7.3.6</x:v>
      </x:c>
      <x:c r="E63" t="str">
        <x:v>Current working tree</x:v>
      </x:c>
      <x:c r="F63" t="str">
        <x:v>Executed</x:v>
      </x:c>
      <x:c r="G63" t="str">
        <x:v>Passed</x:v>
      </x:c>
      <x:c r="H63" t="str">
        <x:v>TypeScript and Vite production build completed successfully</x:v>
      </x:c>
      <x:c r="I63" t="str">
        <x:v>Codex local audit</x:v>
      </x:c>
      <x:c r="J63"/>
      <x:c r="K63" t="str">
        <x:v>No</x:v>
      </x:c>
      <x:c r="L63" t="str">
        <x:v>dist generated successfully</x:v>
      </x:c>
    </x:row>
    <x:row r="64">
      <x:c r="A64" t="str">
        <x:v>RUN-20260925-006</x:v>
      </x:c>
      <x:c r="B64" t="str">
        <x:v>TC-P03-037</x:v>
      </x:c>
      <x:c r="C64" t="n">
        <x:v>46290</x:v>
      </x:c>
      <x:c r="D64" t="str">
        <x:v>Local Windows / Docker PostgreSQL 16 dedicated test database</x:v>
      </x:c>
      <x:c r="E64" t="str">
        <x:v>Current working tree</x:v>
      </x:c>
      <x:c r="F64" t="str">
        <x:v>Executed</x:v>
      </x:c>
      <x:c r="G64" t="str">
        <x:v>Passed</x:v>
      </x:c>
      <x:c r="H64" t="str">
        <x:v>72 passed, 1 warning in 146.36 seconds</x:v>
      </x:c>
      <x:c r="I64" t="str">
        <x:v>Codex local audit</x:v>
      </x:c>
      <x:c r="J64"/>
      <x:c r="K64" t="str">
        <x:v>No</x:v>
      </x:c>
      <x:c r="L64" t="str">
        <x:v>Complete backend suite</x:v>
      </x:c>
    </x:row>
    <x:row r="65">
      <x:c r="A65" t="str">
        <x:v>RUN-20260925-007</x:v>
      </x:c>
      <x:c r="B65" t="str">
        <x:v>TC-P04-007</x:v>
      </x:c>
      <x:c r="C65" t="n">
        <x:v>46290</x:v>
      </x:c>
      <x:c r="D65" t="str">
        <x:v>Docker PostgreSQL 16 / MinIO / rebuilt FastAPI image</x:v>
      </x:c>
      <x:c r="E65" t="str">
        <x:v>Current working tree</x:v>
      </x:c>
      <x:c r="F65" t="str">
        <x:v>Executed</x:v>
      </x:c>
      <x:c r="G65" t="str">
        <x:v>Passed</x:v>
      </x:c>
      <x:c r="H65" t="str">
        <x:v>Document regression stayed green and /readyz reported database connected</x:v>
      </x:c>
      <x:c r="I65" t="str">
        <x:v>Codex local audit</x:v>
      </x:c>
      <x:c r="J65"/>
      <x:c r="K65" t="str">
        <x:v>No</x:v>
      </x:c>
      <x:c r="L65" t="str">
        <x:v>Production AWS/security validation remains deferred</x:v>
      </x:c>
    </x:row>
    <x:row r="66">
      <x:c r="A66" t="str">
        <x:v>RUN-20260925-008</x:v>
      </x:c>
      <x:c r="B66" t="str">
        <x:v>TC-P03-038</x:v>
      </x:c>
      <x:c r="C66" t="n">
        <x:v>46290</x:v>
      </x:c>
      <x:c r="D66" t="str">
        <x:v>In-app Chromium / API 58002 / frontend 5175</x:v>
      </x:c>
      <x:c r="E66" t="str">
        <x:v>Current working tree</x:v>
      </x:c>
      <x:c r="F66" t="str">
        <x:v>Executed</x:v>
      </x:c>
      <x:c r="G66" t="str">
        <x:v>Passed</x:v>
      </x:c>
      <x:c r="H66" t="str">
        <x:v>Current eligible Procurement records and Finance policy guidance rendered in API-connected forms</x:v>
      </x:c>
      <x:c r="I66" t="str">
        <x:v>Codex local audit</x:v>
      </x:c>
      <x:c r="J66"/>
      <x:c r="K66" t="str">
        <x:v>Completed</x:v>
      </x:c>
      <x:c r="L66" t="str">
        <x:v>Initial load defect found, fixed, rebuilt and reverified</x:v>
      </x:c>
    </x:row>
    <x:row r="67">
      <x:c r="A67" t="str">
        <x:v>RUN-20260925-009</x:v>
      </x:c>
      <x:c r="B67" t="str">
        <x:v>TC-P04-008</x:v>
      </x:c>
      <x:c r="C67" t="n">
        <x:v>46290</x:v>
      </x:c>
      <x:c r="D67" t="str">
        <x:v>Docker PostgreSQL 16 dedicated test database</x:v>
      </x:c>
      <x:c r="E67" t="str">
        <x:v>Current working tree</x:v>
      </x:c>
      <x:c r="F67" t="str">
        <x:v>Executed</x:v>
      </x:c>
      <x:c r="G67" t="str">
        <x:v>Passed</x:v>
      </x:c>
      <x:c r="H67" t="str">
        <x:v>Existing supplier required Billing / SOA / Quotation only; new supplier also required BIR 2303</x:v>
      </x:c>
      <x:c r="I67" t="str">
        <x:v>Codex local audit</x:v>
      </x:c>
      <x:c r="J67"/>
      <x:c r="K67" t="str">
        <x:v>No</x:v>
      </x:c>
      <x:c r="L67" t="str">
        <x:v>Focused suites: 35 passed; complete suite: 73 passed; frontend build passed</x:v>
      </x:c>
    </x:row>
    <x:row r="68">
      <x:c r="A68" t="str">
        <x:v>RUN-20260928-001</x:v>
      </x:c>
      <x:c r="B68" t="str">
        <x:v>TC-P03-037</x:v>
      </x:c>
      <x:c r="C68" t="n">
        <x:v>46293</x:v>
      </x:c>
      <x:c r="D68" t="str">
        <x:v>Docker PostgreSQL 16 dedicated test database</x:v>
      </x:c>
      <x:c r="E68" t="str">
        <x:v>Cross-phase closeout working tree</x:v>
      </x:c>
      <x:c r="F68" t="str">
        <x:v>Executed</x:v>
      </x:c>
      <x:c r="G68" t="str">
        <x:v>Passed</x:v>
      </x:c>
      <x:c r="H68" t="str">
        <x:v>73 passed, 2 warnings in 20.77 seconds</x:v>
      </x:c>
      <x:c r="I68" t="str">
        <x:v>Codex local audit</x:v>
      </x:c>
      <x:c r="J68"/>
      <x:c r="K68" t="str">
        <x:v>No</x:v>
      </x:c>
      <x:c r="L68" t="str">
        <x:v>Migration, deterministic seed and Python compilation passed; Ruff package unavailable from configured package source</x:v>
      </x:c>
    </x:row>
    <x:row r="69">
      <x:c r="A69" t="str">
        <x:v>RUN-20260928-002</x:v>
      </x:c>
      <x:c r="B69" t="str">
        <x:v>TC-P04-005</x:v>
      </x:c>
      <x:c r="C69" t="n">
        <x:v>46293</x:v>
      </x:c>
      <x:c r="D69" t="str">
        <x:v>Local Windows / Node 24 / Vite 7.3.6</x:v>
      </x:c>
      <x:c r="E69" t="str">
        <x:v>Cross-phase closeout working tree</x:v>
      </x:c>
      <x:c r="F69" t="str">
        <x:v>Executed</x:v>
      </x:c>
      <x:c r="G69" t="str">
        <x:v>Passed</x:v>
      </x:c>
      <x:c r="H69" t="str">
        <x:v>TypeScript and Vite production build completed successfully</x:v>
      </x:c>
      <x:c r="I69" t="str">
        <x:v>Codex local audit</x:v>
      </x:c>
      <x:c r="J69"/>
      <x:c r="K69" t="str">
        <x:v>No</x:v>
      </x:c>
      <x:c r="L69" t="str">
        <x:v>Current responsive and unified upload changes included</x:v>
      </x:c>
    </x:row>
    <x:row r="70">
      <x:c r="A70" t="str">
        <x:v>RUN-20260928-003</x:v>
      </x:c>
      <x:c r="B70" t="str">
        <x:v>TC-P03-029</x:v>
      </x:c>
      <x:c r="C70" t="n">
        <x:v>46293</x:v>
      </x:c>
      <x:c r="D70" t="str">
        <x:v>Google Chrome / dedicated payment_module_e2e PostgreSQL database</x:v>
      </x:c>
      <x:c r="E70" t="str">
        <x:v>Cross-phase closeout working tree</x:v>
      </x:c>
      <x:c r="F70" t="str">
        <x:v>Executed</x:v>
      </x:c>
      <x:c r="G70" t="str">
        <x:v>Passed</x:v>
      </x:c>
      <x:c r="H70" t="str">
        <x:v>One Playwright scenario passed in 51.5 seconds; five roles completed return, resubmit, cancel and reopen for all five request types</x:v>
      </x:c>
      <x:c r="I70" t="str">
        <x:v>Codex local audit</x:v>
      </x:c>
      <x:c r="J70"/>
      <x:c r="K70" t="str">
        <x:v>No</x:v>
      </x:c>
      <x:c r="L70" t="str">
        <x:v>Real UI clicks, API records and persisted lifecycle history verified</x:v>
      </x:c>
    </x:row>
    <x:row r="71">
      <x:c r="A71" t="str">
        <x:v>RUN-20260928-004</x:v>
      </x:c>
      <x:c r="B71" t="str">
        <x:v>TC-P04-009</x:v>
      </x:c>
      <x:c r="C71" t="n">
        <x:v>46293</x:v>
      </x:c>
      <x:c r="D71" t="str">
        <x:v>Local Windows / active Vite server / production build</x:v>
      </x:c>
      <x:c r="E71" t="str">
        <x:v>Cross-phase closeout working tree</x:v>
      </x:c>
      <x:c r="F71" t="str">
        <x:v>Executed</x:v>
      </x:c>
      <x:c r="G71" t="str">
        <x:v>Passed</x:v>
      </x:c>
      <x:c r="H71" t="str">
        <x:v>Prototype syntax, patch integrity, Vite hot reload and production build passed</x:v>
      </x:c>
      <x:c r="I71" t="str">
        <x:v>Codex local audit</x:v>
      </x:c>
      <x:c r="J71"/>
      <x:c r="K71" t="str">
        <x:v>No</x:v>
      </x:c>
      <x:c r="L71" t="str">
        <x:v>Native file controls remain accessible behind the shared upload icon</x:v>
      </x:c>
    </x:row>
    <x:row r="72" ht="15" hidden="0" customHeight="1">
      <x:c r="A72" t="str">
        <x:v>RUN-20260929-001</x:v>
      </x:c>
      <x:c r="B72" t="str">
        <x:v>TC-P04-010</x:v>
      </x:c>
      <x:c r="C72" s="40" t="n">
        <x:v>46294</x:v>
      </x:c>
      <x:c r="D72" t="str">
        <x:v>Google Chrome / Docker PostgreSQL 16 / MinIO / dedicated payment_module_e2e database</x:v>
      </x:c>
      <x:c r="E72" t="str">
        <x:v>Current Phase 00-04 closeout working tree</x:v>
      </x:c>
      <x:c r="F72" t="str">
        <x:v>Executed</x:v>
      </x:c>
      <x:c r="G72" t="str">
        <x:v>Passed</x:v>
      </x:c>
      <x:c r="H72" t="str">
        <x:v>Two Playwright scenarios passed in 24.7 seconds. The two-line Reimbursement test uploaded separate proofs, confirmed that no request-level Invoice or Billing / Quotation / SOA rule remained, and submitted the request.</x:v>
      </x:c>
      <x:c r="I72" t="str">
        <x:v>Codex local audit</x:v>
      </x:c>
      <x:c r="J72"/>
      <x:c r="K72" t="str">
        <x:v>No</x:v>
      </x:c>
      <x:c r="L72" t="str">
        <x:v>Production frontend build also passed; Docker test records used a disposable database</x:v>
      </x:c>
      <x:c r="M72"/>
    </x:row>
    <x:row r="73" ht="15" hidden="0" customHeight="1">
      <x:c r="A73" t="str">
        <x:v>RUN-20260929-002</x:v>
      </x:c>
      <x:c r="B73" t="str">
        <x:v>TC-P04-003</x:v>
      </x:c>
      <x:c r="C73" s="40" t="n">
        <x:v>46294</x:v>
      </x:c>
      <x:c r="D73" t="str">
        <x:v>Local Windows / Docker PostgreSQL 16 dedicated payment_module_test database</x:v>
      </x:c>
      <x:c r="E73" t="str">
        <x:v>Current Phase 00-04 closeout working tree</x:v>
      </x:c>
      <x:c r="F73" t="str">
        <x:v>Executed</x:v>
      </x:c>
      <x:c r="G73" t="str">
        <x:v>Passed</x:v>
      </x:c>
      <x:c r="H73" t="str">
        <x:v>The focused document suite completed against the isolated Docker PostgreSQL test database with 6 passed and 1 warning in 16.44 seconds, including the corrected per-line-only Reimbursement rule.</x:v>
      </x:c>
      <x:c r="I73" t="str">
        <x:v>Codex local audit</x:v>
      </x:c>
      <x:c r="J73"/>
      <x:c r="K73" t="str">
        <x:v>No</x:v>
      </x:c>
      <x:c r="L73" t="str">
        <x:v>pytest -q tests/test_documents.py</x:v>
      </x:c>
      <x:c r="M73"/>
    </x:row>
    <x:row r="74">
      <x:c r="A74" t="str">
        <x:v>RUN-20261007-001</x:v>
      </x:c>
      <x:c r="B74" t="str">
        <x:v>TC-P01-020</x:v>
      </x:c>
      <x:c r="C74" t="n">
        <x:v>46302</x:v>
      </x:c>
      <x:c r="D74" t="str">
        <x:v>Local Chrome / Docker API / PostgreSQL 16</x:v>
      </x:c>
      <x:c r="E74" t="str">
        <x:v>Phase 01-04 closeout working tree</x:v>
      </x:c>
      <x:c r="F74" t="str">
        <x:v>Executed</x:v>
      </x:c>
      <x:c r="G74" t="str">
        <x:v>Passed</x:v>
      </x:c>
      <x:c r="H74" t="str">
        <x:v>Five core roles authenticated and opened their scoped navigation and administration views without fetch errors</x:v>
      </x:c>
      <x:c r="I74" t="str">
        <x:v>Codex local audit</x:v>
      </x:c>
      <x:c r="J74"/>
      <x:c r="K74" t="str">
        <x:v>No</x:v>
      </x:c>
      <x:c r="L74" t="str">
        <x:v>Stale development role-permission rows were synchronized through the idempotent seed and immediately reverified</x:v>
      </x:c>
    </x:row>
    <x:row r="75">
      <x:c r="A75" t="str">
        <x:v>RUN-20261007-002</x:v>
      </x:c>
      <x:c r="B75" t="str">
        <x:v>TC-P02-010</x:v>
      </x:c>
      <x:c r="C75" t="n">
        <x:v>46302</x:v>
      </x:c>
      <x:c r="D75" t="str">
        <x:v>Local Chrome / API-connected frontend</x:v>
      </x:c>
      <x:c r="E75" t="str">
        <x:v>Phase 01-04 closeout working tree</x:v>
      </x:c>
      <x:c r="F75" t="str">
        <x:v>Executed</x:v>
      </x:c>
      <x:c r="G75" t="str">
        <x:v>Passed</x:v>
      </x:c>
      <x:c r="H75" t="str">
        <x:v>Seven Master Data pages rendered; Finance configuration and identity add forms opened; no horizontal overflow</x:v>
      </x:c>
      <x:c r="I75" t="str">
        <x:v>Codex local audit</x:v>
      </x:c>
      <x:c r="J75"/>
      <x:c r="K75" t="str">
        <x:v>No</x:v>
      </x:c>
      <x:c r="L75" t="str">
        <x:v>Cost centers derive from departments; Vendors remains read-only pending Procurement activation</x:v>
      </x:c>
    </x:row>
    <x:row r="76">
      <x:c r="A76" t="str">
        <x:v>RUN-20261007-003</x:v>
      </x:c>
      <x:c r="B76" t="str">
        <x:v>TC-P03-039</x:v>
      </x:c>
      <x:c r="C76" t="n">
        <x:v>46302</x:v>
      </x:c>
      <x:c r="D76" t="str">
        <x:v>Local Windows / Docker PostgreSQL 16 disposable database</x:v>
      </x:c>
      <x:c r="E76" t="str">
        <x:v>Phase 01-04 closeout working tree</x:v>
      </x:c>
      <x:c r="F76" t="str">
        <x:v>Executed</x:v>
      </x:c>
      <x:c r="G76" t="str">
        <x:v>Passed</x:v>
      </x:c>
      <x:c r="H76" t="str">
        <x:v>Ruff passed; base/head migration replay and both deterministic seeds passed; 99 tests passed with 90% coverage</x:v>
      </x:c>
      <x:c r="I76" t="str">
        <x:v>Codex local audit</x:v>
      </x:c>
      <x:c r="J76"/>
      <x:c r="K76" t="str">
        <x:v>No</x:v>
      </x:c>
      <x:c r="L76" t="str">
        <x:v>One non-blocking warning; runtime 322.71 seconds</x:v>
      </x:c>
    </x:row>
    <x:row r="77">
      <x:c r="A77" t="str">
        <x:v>RUN-20261007-004</x:v>
      </x:c>
      <x:c r="B77" t="str">
        <x:v>TC-P04-011</x:v>
      </x:c>
      <x:c r="C77" t="n">
        <x:v>46302</x:v>
      </x:c>
      <x:c r="D77" t="str">
        <x:v>Headed Google Chrome / Docker PostgreSQL 16 / MinIO</x:v>
      </x:c>
      <x:c r="E77" t="str">
        <x:v>Phase 01-04 closeout working tree</x:v>
      </x:c>
      <x:c r="F77" t="str">
        <x:v>Executed</x:v>
      </x:c>
      <x:c r="G77" t="str">
        <x:v>Passed</x:v>
      </x:c>
      <x:c r="H77" t="str">
        <x:v>All six Playwright scenarios passed in 1.5 minutes</x:v>
      </x:c>
      <x:c r="I77" t="str">
        <x:v>Codex local audit</x:v>
      </x:c>
      <x:c r="J77"/>
      <x:c r="K77" t="str">
        <x:v>No</x:v>
      </x:c>
      <x:c r="L77" t="str">
        <x:v>Login helpers now wait for session restoration before selecting a demo role</x:v>
      </x:c>
    </x:row>
    <x:row r="78">
      <x:c r="A78" t="str">
        <x:v>RUN-20261007-005</x:v>
      </x:c>
      <x:c r="B78" t="str">
        <x:v>TC-XPH-001</x:v>
      </x:c>
      <x:c r="C78" t="n">
        <x:v>46302</x:v>
      </x:c>
      <x:c r="D78" t="str">
        <x:v>Local Windows / Node 24 / Python 3.12</x:v>
      </x:c>
      <x:c r="E78" t="str">
        <x:v>Phase 01-04 closeout working tree</x:v>
      </x:c>
      <x:c r="F78" t="str">
        <x:v>Executed</x:v>
      </x:c>
      <x:c r="G78" t="str">
        <x:v>Passed</x:v>
      </x:c>
      <x:c r="H78" t="str">
        <x:v>pnpm and pip audits found no known vulnerabilities; TypeScript/Vite production build passed</x:v>
      </x:c>
      <x:c r="I78" t="str">
        <x:v>Codex local audit</x:v>
      </x:c>
      <x:c r="J78" t="str">
        <x:v>SEC-20261007-001</x:v>
      </x:c>
      <x:c r="K78" t="str">
        <x:v>Completed</x:v>
      </x:c>
      <x:c r="L78" t="str">
        <x:v>source-map-js 1.2.1 advisory resolved with workspace override to 1.2.2</x:v>
      </x:c>
    </x:row>
    <x:row r="79">
      <x:c r="A79" t="str">
        <x:v>RUN-20261007-006</x:v>
      </x:c>
      <x:c r="B79" t="str">
        <x:v>TC-XPH-002</x:v>
      </x:c>
      <x:c r="C79" t="n">
        <x:v>46302</x:v>
      </x:c>
      <x:c r="D79" t="str">
        <x:v>Headed Google Chrome / current-device viewport matrix</x:v>
      </x:c>
      <x:c r="E79" t="str">
        <x:v>Phase 01-04 closeout working tree</x:v>
      </x:c>
      <x:c r="F79" t="str">
        <x:v>Executed</x:v>
      </x:c>
      <x:c r="G79" t="str">
        <x:v>Passed</x:v>
      </x:c>
      <x:c r="H79" t="str">
        <x:v>Ten representative current iPhone/Galaxy portrait and landscape viewports passed across four key routes</x:v>
      </x:c>
      <x:c r="I79" t="str">
        <x:v>Codex local audit</x:v>
      </x:c>
      <x:c r="J79"/>
      <x:c r="K79" t="str">
        <x:v>No</x:v>
      </x:c>
      <x:c r="L79" t="str">
        <x:v>Navigation open/close, cards, tables, tabs/selectors and overflow checks passed</x:v>
      </x:c>
    </x:row>
  </x:sheetData>
  <x:mergeCells>
    <x:mergeCell ref="A1:L1"/>
    <x:mergeCell ref="A2:L2"/>
  </x:mergeCells>
  <x:conditionalFormatting sqref="G4:G500">
    <x:cfRule type="containsText" dxfId="28" priority="1" operator="containsText" text="Passed"/>
    <x:cfRule type="containsText" dxfId="29" priority="2" operator="containsText" text="Validated"/>
    <x:cfRule type="containsText" dxfId="30" priority="3" operator="containsText" text="Accepted"/>
    <x:cfRule type="containsText" dxfId="31" priority="4" operator="containsText" text="Failed"/>
    <x:cfRule type="containsText" dxfId="32" priority="5" operator="containsText" text="Blocked"/>
    <x:cfRule type="containsText" dxfId="33" priority="6" operator="containsText" text="Not Run"/>
    <x:cfRule type="containsText" dxfId="34" priority="7" operator="containsText" text="Pending"/>
  </x:conditionalFormatting>
  <x:dataValidations count="3">
    <x:dataValidation type="list" sqref="F4:F500">
      <x:formula1>"Pending,Executed,Blocked"</x:formula1>
    </x:dataValidation>
    <x:dataValidation type="list" sqref="G4:G500">
      <x:formula1>"Not Run,Passed,Failed,Blocked,N/A"</x:formula1>
    </x:dataValidation>
    <x:dataValidation type="list" sqref="K4:K500">
      <x:formula1>"No,Required,Completed"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c202d6348445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48" hidden="0" customWidth="1"/>
    <x:col min="5" max="5" width="44" hidden="0" customWidth="1"/>
    <x:col min="6" max="6" width="14" hidden="0" customWidth="1"/>
    <x:col min="7" max="7" width="14" hidden="0" customWidth="1"/>
    <x:col min="8" max="8" width="46" hidden="0" customWidth="1"/>
    <x:col min="9" max="9" width="18" hidden="0" customWidth="1"/>
    <x:col min="10" max="10" width="18" hidden="0" customWidth="1"/>
  </x:cols>
  <x:sheetData>
    <x:row r="1" ht="21.600000381469727" hidden="0" customHeight="1">
      <x:c r="A1" s="3" t="str">
        <x:v>Acceptance Matrix</x:v>
      </x:c>
    </x:row>
    <x:row r="2" ht="26.399999618530273" hidden="0" customHeight="1">
      <x:c r="A2" s="6" t="str">
        <x:v>Phase gates mapped to test IDs and objective evidence. A gate remains pending until every required linked test passes.</x:v>
      </x:c>
    </x:row>
    <x:row r="3" ht="52.79999923706055" hidden="0" customHeight="1">
      <x:c r="A3" s="13" t="str">
        <x:v>Gate ID</x:v>
      </x:c>
      <x:c r="B3" s="36" t="str">
        <x:v>Phase</x:v>
      </x:c>
      <x:c r="C3" s="36" t="str">
        <x:v>Gate</x:v>
      </x:c>
      <x:c r="D3" s="36" t="str">
        <x:v>Acceptance Requirement</x:v>
      </x:c>
      <x:c r="E3" s="36" t="str">
        <x:v>Linked Tests</x:v>
      </x:c>
      <x:c r="F3" s="36" t="str">
        <x:v>Required</x:v>
      </x:c>
      <x:c r="G3" s="36" t="str">
        <x:v>Result</x:v>
      </x:c>
      <x:c r="H3" s="36" t="str">
        <x:v>Evidence / Limitation</x:v>
      </x:c>
      <x:c r="I3" s="36" t="str">
        <x:v>Accepted Date</x:v>
      </x:c>
      <x:c r="J3" s="14" t="str">
        <x:v>Accepted By</x:v>
      </x:c>
    </x:row>
    <x:row r="4" ht="108" hidden="0" customHeight="1">
      <x:c r="A4" s="22" t="str">
        <x:v>AG-P00-01</x:v>
      </x:c>
      <x:c r="B4" s="22" t="str">
        <x:v>P00</x:v>
      </x:c>
      <x:c r="C4" s="22" t="str">
        <x:v>API foundation</x:v>
      </x:c>
      <x:c r="D4" s="22" t="str">
        <x:v>Liveness, readiness, discovery, versioned system route and docs are available</x:v>
      </x:c>
      <x:c r="E4" s="22" t="str">
        <x:v>TC-P00-001, TC-P00-002, TC-P00-003, TC-P00-004, TC-P00-019</x:v>
      </x:c>
      <x:c r="F4" s="22" t="str">
        <x:v>Yes</x:v>
      </x:c>
      <x:c r="G4" s="22" t="str">
        <x:v>Accepted</x:v>
      </x:c>
      <x:c r="H4" s="22" t="str">
        <x:v>Validated locally and in CI</x:v>
      </x:c>
      <x:c r="I4" s="37" t="str">
        <x:v>2026-08-25</x:v>
      </x:c>
      <x:c r="J4" s="22" t="str">
        <x:v>Paolo Ylag</x:v>
      </x:c>
    </x:row>
    <x:row r="5" ht="108" hidden="0" customHeight="1">
      <x:c r="A5" s="23" t="str">
        <x:v>AG-P00-02</x:v>
      </x:c>
      <x:c r="B5" s="23" t="str">
        <x:v>P00</x:v>
      </x:c>
      <x:c r="C5" s="23" t="str">
        <x:v>Database foundation</x:v>
      </x:c>
      <x:c r="D5" s="23" t="str">
        <x:v>PostgreSQL, migration, seed and Asia/Manila session operate repeatably</x:v>
      </x:c>
      <x:c r="E5" s="23" t="str">
        <x:v>TC-P00-008, TC-P00-009, TC-P00-010, TC-P00-011, TC-P00-012</x:v>
      </x:c>
      <x:c r="F5" s="23" t="str">
        <x:v>Yes</x:v>
      </x:c>
      <x:c r="G5" s="23" t="str">
        <x:v>Accepted</x:v>
      </x:c>
      <x:c r="H5" s="23" t="str">
        <x:v>Validated against local PostgreSQL 16</x:v>
      </x:c>
      <x:c r="I5" s="38" t="str">
        <x:v>2026-08-25</x:v>
      </x:c>
      <x:c r="J5" s="23" t="str">
        <x:v>Paolo Ylag</x:v>
      </x:c>
    </x:row>
    <x:row r="6" ht="96" hidden="0" customHeight="1">
      <x:c r="A6" s="23" t="str">
        <x:v>AG-P00-03</x:v>
      </x:c>
      <x:c r="B6" s="23" t="str">
        <x:v>P00</x:v>
      </x:c>
      <x:c r="C6" s="23" t="str">
        <x:v>API standards</x:v>
      </x:c>
      <x:c r="D6" s="23" t="str">
        <x:v>Problem responses, request IDs, CORS and logging conventions are established</x:v>
      </x:c>
      <x:c r="E6" s="23" t="str">
        <x:v>TC-P00-005, TC-P00-006, TC-P00-007, TC-P00-020</x:v>
      </x:c>
      <x:c r="F6" s="23" t="str">
        <x:v>Yes</x:v>
      </x:c>
      <x:c r="G6" s="23" t="str">
        <x:v>Accepted</x:v>
      </x:c>
      <x:c r="H6" s="23" t="str">
        <x:v>Request propagation, CORS and structured log fields verified</x:v>
      </x:c>
      <x:c r="I6" s="38" t="str">
        <x:v>2026-08-25</x:v>
      </x:c>
      <x:c r="J6" s="23" t="str">
        <x:v>Paolo Ylag</x:v>
      </x:c>
    </x:row>
    <x:row r="7" ht="72" hidden="0" customHeight="1">
      <x:c r="A7" s="23" t="str">
        <x:v>AG-P00-04</x:v>
      </x:c>
      <x:c r="B7" s="23" t="str">
        <x:v>P00</x:v>
      </x:c>
      <x:c r="C7" s="23" t="str">
        <x:v>Automated quality</x:v>
      </x:c>
      <x:c r="D7" s="23" t="str">
        <x:v>Lint, tests, coverage and production build pass</x:v>
      </x:c>
      <x:c r="E7" s="23" t="str">
        <x:v>TC-P00-013, TC-P00-014, TC-P00-015</x:v>
      </x:c>
      <x:c r="F7" s="23" t="str">
        <x:v>Yes</x:v>
      </x:c>
      <x:c r="G7" s="23" t="str">
        <x:v>Accepted</x:v>
      </x:c>
      <x:c r="H7" s="23" t="str">
        <x:v>6 tests passed; 89% coverage; Vite build passed</x:v>
      </x:c>
      <x:c r="I7" s="38" t="str">
        <x:v>2026-08-25</x:v>
      </x:c>
      <x:c r="J7" s="23" t="str">
        <x:v>Paolo Ylag</x:v>
      </x:c>
    </x:row>
    <x:row r="8" ht="96" hidden="0" customHeight="1">
      <x:c r="A8" s="23" t="str">
        <x:v>AG-P00-05</x:v>
      </x:c>
      <x:c r="B8" s="23" t="str">
        <x:v>P00</x:v>
      </x:c>
      <x:c r="C8" s="23" t="str">
        <x:v>Delivery packaging</x:v>
      </x:c>
      <x:c r="D8" s="23" t="str">
        <x:v>Docker image builds and both Compose services become healthy</x:v>
      </x:c>
      <x:c r="E8" s="23" t="str">
        <x:v>TC-P00-008, TC-P00-018</x:v>
      </x:c>
      <x:c r="F8" s="23" t="str">
        <x:v>Yes</x:v>
      </x:c>
      <x:c r="G8" s="23" t="str">
        <x:v>Accepted</x:v>
      </x:c>
      <x:c r="H8" s="23" t="str">
        <x:v>Local Docker and GitHub package job passed</x:v>
      </x:c>
      <x:c r="I8" s="38" t="str">
        <x:v>2026-08-25</x:v>
      </x:c>
      <x:c r="J8" s="23" t="str">
        <x:v>Paolo Ylag</x:v>
      </x:c>
    </x:row>
    <x:row r="9" ht="96" hidden="0" customHeight="1">
      <x:c r="A9" s="24" t="str">
        <x:v>AG-P00-06</x:v>
      </x:c>
      <x:c r="B9" s="24" t="str">
        <x:v>P00</x:v>
      </x:c>
      <x:c r="C9" s="24" t="str">
        <x:v>Continuously runnable prototype</x:v>
      </x:c>
      <x:c r="D9" s="24" t="str">
        <x:v>Hybrid frontend connects to API and falls back safely when API is unavailable</x:v>
      </x:c>
      <x:c r="E9" s="24" t="str">
        <x:v>TC-P00-016, TC-P00-017</x:v>
      </x:c>
      <x:c r="F9" s="24" t="str">
        <x:v>Yes</x:v>
      </x:c>
      <x:c r="G9" s="24" t="str">
        <x:v>Accepted</x:v>
      </x:c>
      <x:c r="H9" s="24" t="str">
        <x:v>API connected and Hybrid · mock fallback states both verified</x:v>
      </x:c>
      <x:c r="I9" s="39" t="str">
        <x:v>2026-08-25</x:v>
      </x:c>
      <x:c r="J9" s="24" t="str">
        <x:v>Paolo Ylag</x:v>
      </x:c>
    </x:row>
    <x:row r="10">
      <x:c r="A10" t="str">
        <x:v>AG-P03-01</x:v>
      </x:c>
      <x:c r="B10" t="str">
        <x:v>P03</x:v>
      </x:c>
      <x:c r="C10" t="str">
        <x:v>Request API integrity</x:v>
      </x:c>
      <x:c r="D10" t="str">
        <x:v>Persisted requests enforce lifecycle, ownership, currency, concurrency and totals</x:v>
      </x:c>
      <x:c r="E10" t="str">
        <x:v>TC-P03-001 to TC-P03-008; TC-P03-010 to TC-P03-019; TC-P03-023; TC-P03-030 to TC-P03-035; TC-P03-037</x:v>
      </x:c>
      <x:c r="F10" t="str">
        <x:v>Yes</x:v>
      </x:c>
      <x:c r="G10" t="str">
        <x:v>Accepted</x:v>
      </x:c>
      <x:c r="H10" t="str">
        <x:v>99-test Docker/PostgreSQL regression, reversible migration replay, deterministic seed and 90% coverage passed.</x:v>
      </x:c>
      <x:c r="I10" t="str">
        <x:v>2026-10-07</x:v>
      </x:c>
      <x:c r="J10" t="str">
        <x:v>Paolo Ylag</x:v>
      </x:c>
    </x:row>
    <x:row r="11">
      <x:c r="A11" t="str">
        <x:v>AG-P03-02</x:v>
      </x:c>
      <x:c r="B11" t="str">
        <x:v>P03</x:v>
      </x:c>
      <x:c r="C11" t="str">
        <x:v>Browser request lifecycle</x:v>
      </x:c>
      <x:c r="D11" t="str">
        <x:v>All five types complete valid and invalid UI lifecycle flows in API and standalone modes</x:v>
      </x:c>
      <x:c r="E11" t="str">
        <x:v>TC-P03-024 to TC-P03-029; TC-P03-036; TC-P03-038</x:v>
      </x:c>
      <x:c r="F11" t="str">
        <x:v>Yes</x:v>
      </x:c>
      <x:c r="G11" t="str">
        <x:v>Accepted</x:v>
      </x:c>
      <x:c r="H11" t="str">
        <x:v>Five-role lifecycle for all five request types and the complete six-scenario headed Chrome suite passed.</x:v>
      </x:c>
      <x:c r="I11" t="str">
        <x:v>2026-10-07</x:v>
      </x:c>
      <x:c r="J11" t="str">
        <x:v>Paolo Ylag</x:v>
      </x:c>
    </x:row>
    <x:row r="12">
      <x:c r="A12" t="str">
        <x:v>AG-P03-03</x:v>
      </x:c>
      <x:c r="B12" t="str">
        <x:v>P03</x:v>
      </x:c>
      <x:c r="C12" t="str">
        <x:v>Finance business rules</x:v>
      </x:c>
      <x:c r="D12" t="str">
        <x:v>Final General Payment and Cash Advance policy decisions are confirmed</x:v>
      </x:c>
      <x:c r="E12" t="str">
        <x:v>TC-P03-009; TC-P03-030 to TC-P03-034; TC-P04-008</x:v>
      </x:c>
      <x:c r="F12" t="str">
        <x:v>Yes</x:v>
      </x:c>
      <x:c r="G12" t="str">
        <x:v>Accepted</x:v>
      </x:c>
      <x:c r="H12" t="str">
        <x:v>Confirmed duplicate, no-conversion, Cash Advance, batch, and General Payment rules are implemented and tested; deferred cash-out exceptions remain an accepted limitation.</x:v>
      </x:c>
      <x:c r="I12" t="str">
        <x:v>2026-10-07</x:v>
      </x:c>
      <x:c r="J12" t="str">
        <x:v>Paolo Ylag</x:v>
      </x:c>
    </x:row>
    <x:row r="13">
      <x:c r="A13" t="str">
        <x:v>AG-P04-01</x:v>
      </x:c>
      <x:c r="B13" t="str">
        <x:v>P04</x:v>
      </x:c>
      <x:c r="C13" t="str">
        <x:v>Local document lifecycle</x:v>
      </x:c>
      <x:c r="D13" t="str">
        <x:v>Private upload, preview, replacement, removal, requirements and audit controls pass</x:v>
      </x:c>
      <x:c r="E13" t="str">
        <x:v>TC-P04-001 to TC-P04-004; TC-P04-006 to TC-P04-008</x:v>
      </x:c>
      <x:c r="F13" t="str">
        <x:v>Yes</x:v>
      </x:c>
      <x:c r="G13" t="str">
        <x:v>Accepted</x:v>
      </x:c>
      <x:c r="H13" t="str">
        <x:v>Private document lifecycle, requirements, versioning, hard-copy/review histories and full regression passed.</x:v>
      </x:c>
      <x:c r="I13" t="str">
        <x:v>2026-10-07</x:v>
      </x:c>
      <x:c r="J13" t="str">
        <x:v>Paolo Ylag</x:v>
      </x:c>
    </x:row>
    <x:row r="14">
      <x:c r="A14" t="str">
        <x:v>AG-P04-02</x:v>
      </x:c>
      <x:c r="B14" t="str">
        <x:v>P04</x:v>
      </x:c>
      <x:c r="C14" t="str">
        <x:v>Frontend document workflow</x:v>
      </x:c>
      <x:c r="D14" t="str">
        <x:v>API-backed document operations and standalone fallback pass browser acceptance</x:v>
      </x:c>
      <x:c r="E14" t="str">
        <x:v>TC-P04-005</x:v>
      </x:c>
      <x:c r="F14" t="str">
        <x:v>Yes</x:v>
      </x:c>
      <x:c r="G14" t="str">
        <x:v>Accepted</x:v>
      </x:c>
      <x:c r="H14" t="str">
        <x:v>Five-role document workflow, multi-line Reimbursement uploads, responsive upload UI and production build passed.</x:v>
      </x:c>
      <x:c r="I14" t="str">
        <x:v>2026-10-07</x:v>
      </x:c>
      <x:c r="J14" t="str">
        <x:v>Paolo Ylag</x:v>
      </x:c>
    </x:row>
    <x:row r="15">
      <x:c r="A15" t="str">
        <x:v>AG-P04-03</x:v>
      </x:c>
      <x:c r="B15" t="str">
        <x:v>P04</x:v>
      </x:c>
      <x:c r="C15" t="str">
        <x:v>Production document controls</x:v>
      </x:c>
      <x:c r="D15" t="str">
        <x:v>AWS, malware, retention and final Finance rule configuration are approved and validated</x:v>
      </x:c>
      <x:c r="E15" t="str">
        <x:v>Production validation plan</x:v>
      </x:c>
      <x:c r="F15" t="str">
        <x:v>No</x:v>
      </x:c>
      <x:c r="G15" t="str">
        <x:v>Deferred to Phase 09</x:v>
      </x:c>
      <x:c r="H15" t="str">
        <x:v>Production S3/IAM, malware scanning, retention and hosted accessibility are explicitly outside local Phase 04 acceptance.</x:v>
      </x:c>
      <x:c r="I15" t="str">
        <x:v>2026-10-07</x:v>
      </x:c>
      <x:c r="J15" t="str">
        <x:v>Paolo Ylag</x:v>
      </x:c>
    </x:row>
    <x:row r="16">
      <x:c r="A16" t="str">
        <x:v>AG-P01-01</x:v>
      </x:c>
      <x:c r="B16" t="str">
        <x:v>P01</x:v>
      </x:c>
      <x:c r="C16" t="str">
        <x:v>Current identity and RBAC regression</x:v>
      </x:c>
      <x:c r="D16" t="str">
        <x:v>Authentication, sessions, role navigation and protected identity administration remain correct in the current build</x:v>
      </x:c>
      <x:c r="E16" t="str">
        <x:v>TC-P01-020</x:v>
      </x:c>
      <x:c r="F16" t="str">
        <x:v>Yes</x:v>
      </x:c>
      <x:c r="G16" t="str">
        <x:v>Accepted</x:v>
      </x:c>
      <x:c r="H16" t="str">
        <x:v>Five-role browser walkthrough and 99-test backend regression passed</x:v>
      </x:c>
      <x:c r="I16" t="str">
        <x:v>2026-10-07</x:v>
      </x:c>
      <x:c r="J16" t="str">
        <x:v>Paolo Ylag</x:v>
      </x:c>
    </x:row>
    <x:row r="17">
      <x:c r="A17" t="str">
        <x:v>AG-P02-01</x:v>
      </x:c>
      <x:c r="B17" t="str">
        <x:v>P02</x:v>
      </x:c>
      <x:c r="C17" t="str">
        <x:v>Local Master Data lifecycle</x:v>
      </x:c>
      <x:c r="D17" t="str">
        <x:v>All seven Master Data views and authorized configuration controls work against persisted reference data</x:v>
      </x:c>
      <x:c r="E17" t="str">
        <x:v>TC-P02-010</x:v>
      </x:c>
      <x:c r="F17" t="str">
        <x:v>Yes</x:v>
      </x:c>
      <x:c r="G17" t="str">
        <x:v>Accepted</x:v>
      </x:c>
      <x:c r="H17" t="str">
        <x:v>Browser-first functional checks, API regression and production build passed</x:v>
      </x:c>
      <x:c r="I17" t="str">
        <x:v>2026-10-07</x:v>
      </x:c>
      <x:c r="J17" t="str">
        <x:v>Paolo Ylag</x:v>
      </x:c>
    </x:row>
    <x:row r="18">
      <x:c r="A18" t="str">
        <x:v>AG-P02-02</x:v>
      </x:c>
      <x:c r="B18" t="str">
        <x:v>P02</x:v>
      </x:c>
      <x:c r="C18" t="str">
        <x:v>External reference-data activation</x:v>
      </x:c>
      <x:c r="D18" t="str">
        <x:v>Authoritative Finance values and live Procurement vendor transport are supplied before production use</x:v>
      </x:c>
      <x:c r="E18" t="str">
        <x:v>Phase 09 production validation plan</x:v>
      </x:c>
      <x:c r="F18" t="str">
        <x:v>No</x:v>
      </x:c>
      <x:c r="G18" t="str">
        <x:v>Deferred to Phase 09</x:v>
      </x:c>
      <x:c r="H18" t="str">
        <x:v>Deterministic local data is accepted for development; production activation remains external</x:v>
      </x:c>
      <x:c r="I18" t="str">
        <x:v>2026-10-07</x:v>
      </x:c>
      <x:c r="J18" t="str">
        <x:v>Paolo Ylag</x:v>
      </x:c>
    </x:row>
  </x:sheetData>
  <x:mergeCells>
    <x:mergeCell ref="A1:J1"/>
    <x:mergeCell ref="A2:J2"/>
  </x:mergeCells>
  <x:conditionalFormatting sqref="G4:G200">
    <x:cfRule type="containsText" dxfId="35" priority="1" operator="containsText" text="Passed"/>
    <x:cfRule type="containsText" dxfId="36" priority="2" operator="containsText" text="Validated"/>
    <x:cfRule type="containsText" dxfId="37" priority="3" operator="containsText" text="Accepted"/>
    <x:cfRule type="containsText" dxfId="38" priority="4" operator="containsText" text="Failed"/>
    <x:cfRule type="containsText" dxfId="39" priority="5" operator="containsText" text="Blocked"/>
    <x:cfRule type="containsText" dxfId="40" priority="6" operator="containsText" text="Not Run"/>
    <x:cfRule type="containsText" dxfId="41" priority="7" operator="containsText" text="Pending"/>
  </x:conditionalFormatting>
  <x:dataValidations count="1">
    <x:dataValidation type="list" sqref="G4:G200">
      <x:formula1>"Pending,Accepted,Rejected,Blocked"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4088cd2bb843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38" hidden="0" customWidth="1"/>
    <x:col min="4" max="4" width="24" hidden="0" customWidth="1"/>
    <x:col min="5" max="5" width="40" hidden="0" customWidth="1"/>
    <x:col min="6" max="6" width="42" hidden="0" customWidth="1"/>
  </x:cols>
  <x:sheetData>
    <x:row r="1" ht="21.600000381469727" hidden="0" customHeight="1">
      <x:c r="A1" s="3" t="str">
        <x:v>Workbook Maintenance Guide</x:v>
      </x:c>
    </x:row>
    <x:row r="2" ht="26.399999618530273" hidden="0" customHeight="1">
      <x:c r="A2" s="6" t="str">
        <x:v>Use this workbook as the QA system of record for development phases and repeatable acceptance decisions.</x:v>
      </x:c>
    </x:row>
    <x:row r="3" ht="26.399999618530273" hidden="0" customHeight="1">
      <x:c r="A3" s="13" t="str">
        <x:v>Step</x:v>
      </x:c>
      <x:c r="B3" s="36" t="str">
        <x:v>When</x:v>
      </x:c>
      <x:c r="C3" s="36" t="str">
        <x:v>Action</x:v>
      </x:c>
      <x:c r="D3" s="36" t="str">
        <x:v>Sheet</x:v>
      </x:c>
      <x:c r="E3" s="36" t="str">
        <x:v>Required Fields</x:v>
      </x:c>
      <x:c r="F3" s="14" t="str">
        <x:v>Rule</x:v>
      </x:c>
    </x:row>
    <x:row r="4" ht="60" hidden="0" customHeight="1">
      <x:c r="A4" s="22" t="n">
        <x:v>1</x:v>
      </x:c>
      <x:c r="B4" s="22" t="str">
        <x:v>A work item starts</x:v>
      </x:c>
      <x:c r="C4" s="22" t="str">
        <x:v>Add or update its development row</x:v>
      </x:c>
      <x:c r="D4" s="22" t="str">
        <x:v>Development Log</x:v>
      </x:c>
      <x:c r="E4" s="22" t="str">
        <x:v>Phase, work item, status, branch, owner</x:v>
      </x:c>
      <x:c r="F4" s="22" t="str">
        <x:v>Do not mark Complete without evidence</x:v>
      </x:c>
    </x:row>
    <x:row r="5" ht="72" hidden="0" customHeight="1">
      <x:c r="A5" s="23" t="n">
        <x:v>2</x:v>
      </x:c>
      <x:c r="B5" s="23" t="str">
        <x:v>A requirement is testable</x:v>
      </x:c>
      <x:c r="C5" s="23" t="str">
        <x:v>Create a stable test ID</x:v>
      </x:c>
      <x:c r="D5" s="23" t="str">
        <x:v>Test Cases</x:v>
      </x:c>
      <x:c r="E5" s="23" t="str">
        <x:v>Steps, expected result, priority, acceptance flag</x:v>
      </x:c>
      <x:c r="F5" s="23" t="str">
        <x:v>Never recycle test IDs</x:v>
      </x:c>
    </x:row>
    <x:row r="6" ht="48" hidden="0" customHeight="1">
      <x:c r="A6" s="23" t="n">
        <x:v>3</x:v>
      </x:c>
      <x:c r="B6" s="23" t="str">
        <x:v>A test is executed</x:v>
      </x:c>
      <x:c r="C6" s="23" t="str">
        <x:v>Append a new run</x:v>
      </x:c>
      <x:c r="D6" s="23" t="str">
        <x:v>Test Executions</x:v>
      </x:c>
      <x:c r="E6" s="23" t="str">
        <x:v>Run ID, date, build, result, evidence</x:v>
      </x:c>
      <x:c r="F6" s="23" t="str">
        <x:v>Never overwrite historical runs</x:v>
      </x:c>
    </x:row>
    <x:row r="7" ht="60" hidden="0" customHeight="1">
      <x:c r="A7" s="23" t="n">
        <x:v>4</x:v>
      </x:c>
      <x:c r="B7" s="23" t="str">
        <x:v>A defect is found</x:v>
      </x:c>
      <x:c r="C7" s="23" t="str">
        <x:v>Record the defect and retest requirement</x:v>
      </x:c>
      <x:c r="D7" s="23" t="str">
        <x:v>Test Executions</x:v>
      </x:c>
      <x:c r="E7" s="23" t="str">
        <x:v>Defect ID, result, retest</x:v>
      </x:c>
      <x:c r="F7" s="23" t="str">
        <x:v>Failed acceptance tests block the gate</x:v>
      </x:c>
    </x:row>
    <x:row r="8" ht="60" hidden="0" customHeight="1">
      <x:c r="A8" s="23" t="n">
        <x:v>5</x:v>
      </x:c>
      <x:c r="B8" s="23" t="str">
        <x:v>A gate is reviewed</x:v>
      </x:c>
      <x:c r="C8" s="23" t="str">
        <x:v>Confirm linked required tests</x:v>
      </x:c>
      <x:c r="D8" s="23" t="str">
        <x:v>Acceptance Matrix</x:v>
      </x:c>
      <x:c r="E8" s="23" t="str">
        <x:v>Result, evidence, accepted date/by</x:v>
      </x:c>
      <x:c r="F8" s="23" t="str">
        <x:v>Pending if any required test is not passed</x:v>
      </x:c>
    </x:row>
    <x:row r="9" ht="60" hidden="0" customHeight="1">
      <x:c r="A9" s="23" t="n">
        <x:v>6</x:v>
      </x:c>
      <x:c r="B9" s="23" t="str">
        <x:v>A phase is approved</x:v>
      </x:c>
      <x:c r="C9" s="23" t="str">
        <x:v>Update the phase ledger</x:v>
      </x:c>
      <x:c r="D9" s="23" t="str">
        <x:v>Phase Register</x:v>
      </x:c>
      <x:c r="E9" s="23" t="str">
        <x:v>Status, validation reference, date</x:v>
      </x:c>
      <x:c r="F9" s="23" t="str">
        <x:v>Use Validated only after acceptance review</x:v>
      </x:c>
    </x:row>
    <x:row r="10" ht="60" hidden="0" customHeight="1">
      <x:c r="A10" s="24" t="n">
        <x:v>7</x:v>
      </x:c>
      <x:c r="B10" s="24" t="str">
        <x:v>A release/build changes</x:v>
      </x:c>
      <x:c r="C10" s="24" t="str">
        <x:v>Create fresh execution rows</x:v>
      </x:c>
      <x:c r="D10" s="24" t="str">
        <x:v>Test Executions</x:v>
      </x:c>
      <x:c r="E10" s="24" t="str">
        <x:v>New build/commit and actual result</x:v>
      </x:c>
      <x:c r="F10" s="24" t="str">
        <x:v>Re-run affected regression tests</x:v>
      </x:c>
    </x:row>
    <x:row r="11"/>
    <x:row r="12" ht="26.399999618530273" hidden="0" customHeight="1">
      <x:c r="A12" s="13" t="str">
        <x:v>Controlled field</x:v>
      </x:c>
      <x:c r="B12" s="14" t="str">
        <x:v>Allowed values</x:v>
      </x:c>
    </x:row>
    <x:row r="13" ht="84" hidden="0" customHeight="1">
      <x:c r="A13" s="22" t="str">
        <x:v>Phase Status</x:v>
      </x:c>
      <x:c r="B13" s="22" t="str">
        <x:v>Not Started; In Progress; Ready for Validation; Validated; Blocked</x:v>
      </x:c>
    </x:row>
    <x:row r="14" ht="60" hidden="0" customHeight="1">
      <x:c r="A14" s="23" t="str">
        <x:v>Test Result</x:v>
      </x:c>
      <x:c r="B14" s="23" t="str">
        <x:v>Not Run; Passed; Failed; Blocked; N/A</x:v>
      </x:c>
    </x:row>
    <x:row r="15" ht="48" hidden="0" customHeight="1">
      <x:c r="A15" s="23" t="str">
        <x:v>Priority</x:v>
      </x:c>
      <x:c r="B15" s="23" t="str">
        <x:v>Critical; High; Medium; Low</x:v>
      </x:c>
    </x:row>
    <x:row r="16" ht="48" hidden="0" customHeight="1">
      <x:c r="A16" s="23" t="str">
        <x:v>Acceptance Result</x:v>
      </x:c>
      <x:c r="B16" s="23" t="str">
        <x:v>Pending; Accepted; Rejected; Blocked</x:v>
      </x:c>
    </x:row>
    <x:row r="17" ht="36" hidden="0" customHeight="1">
      <x:c r="A17" s="23" t="str">
        <x:v>Retest</x:v>
      </x:c>
      <x:c r="B17" s="23" t="str">
        <x:v>No; Required; Completed</x:v>
      </x:c>
    </x:row>
    <x:row r="18" ht="96" hidden="0" customHeight="1">
      <x:c r="A18" s="24" t="str">
        <x:v>Evidence</x:v>
      </x:c>
      <x:c r="B18" s="24" t="str">
        <x:v>Command output, URL, CI run, screenshot, log, commit or document reference</x:v>
      </x:c>
    </x:row>
  </x:sheetData>
  <x:mergeCells>
    <x:mergeCell ref="A1:F1"/>
    <x:mergeCell ref="A2:F2"/>
  </x:mergeCells>
  <x:pageMargins left="0.7" right="0.7" top="0.75" bottom="0.75" header="0.3" footer="0.3"/>
  <x:legacyDrawing xmlns:r="http://schemas.openxmlformats.org/officeDocument/2006/relationships" r:id="R811266adc5b44823"/>
</x:worksheet>
</file>